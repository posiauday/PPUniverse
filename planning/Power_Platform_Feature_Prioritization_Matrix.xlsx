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Scoring Weights" sheetId="2" state="visible" r:id="rId2"/>
    <sheet xmlns:r="http://schemas.openxmlformats.org/officeDocument/2006/relationships" name="Roadmap View" sheetId="3" state="visible" r:id="rId3"/>
    <sheet xmlns:r="http://schemas.openxmlformats.org/officeDocument/2006/relationships" name="Instruction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563EB"/>
    </font>
    <font>
      <b val="1"/>
    </font>
    <font>
      <b val="1"/>
      <color rgb="00FFFFFF"/>
    </font>
    <font>
      <color rgb="002563EB"/>
    </font>
    <font>
      <b val="1"/>
      <color rgb="0017324D"/>
    </font>
    <font>
      <i val="1"/>
      <color rgb="00667085"/>
    </font>
    <font>
      <color rgb="00000000"/>
    </font>
    <font>
      <color rgb="00667085"/>
    </font>
    <font>
      <b val="1"/>
      <color rgb="000F766E"/>
      <sz val="20"/>
    </font>
    <font>
      <b val="1"/>
      <color rgb="00F59E0B"/>
    </font>
    <font>
      <name val="Aptos"/>
      <b val="1"/>
      <color rgb="00FFFFFF"/>
      <sz val="18"/>
    </font>
    <font>
      <name val="Aptos"/>
      <family val="2"/>
      <color theme="1"/>
      <sz val="11"/>
      <scheme val="minor"/>
    </font>
    <font>
      <name val="Aptos"/>
      <i val="1"/>
      <color rgb="00667085"/>
    </font>
    <font>
      <name val="Aptos"/>
      <color rgb="00667085"/>
    </font>
    <font>
      <name val="Aptos"/>
      <color rgb="002563EB"/>
    </font>
    <font>
      <name val="Aptos"/>
      <color rgb="00000000"/>
    </font>
    <font>
      <name val="Aptos"/>
      <b val="1"/>
      <color rgb="002563EB"/>
    </font>
    <font>
      <name val="Aptos"/>
      <b val="1"/>
    </font>
    <font>
      <name val="Aptos"/>
      <b val="1"/>
      <color rgb="00FFFFFF"/>
    </font>
    <font>
      <name val="Aptos"/>
      <b val="1"/>
      <color rgb="0017324D"/>
    </font>
    <font>
      <name val="Aptos"/>
      <b val="1"/>
      <color rgb="000F766E"/>
      <sz val="20"/>
    </font>
    <font>
      <name val="Aptos"/>
      <b val="1"/>
      <color rgb="00F59E0B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0" fillId="2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center" wrapText="1"/>
    </xf>
    <xf numFmtId="9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9" fontId="19" fillId="0" borderId="0" applyAlignment="1" pivotButton="0" quotePrefix="0" xfId="0">
      <alignment vertical="center" wrapText="1"/>
    </xf>
    <xf numFmtId="0" fontId="20" fillId="3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0" fillId="3" borderId="0" pivotButton="0" quotePrefix="0" xfId="0"/>
    <xf numFmtId="0" fontId="22" fillId="0" borderId="0" pivotButton="0" quotePrefix="0" xfId="0"/>
    <xf numFmtId="0" fontId="20" fillId="2" borderId="0" pivotButton="0" quotePrefix="0" xfId="0"/>
    <xf numFmtId="0" fontId="21" fillId="0" borderId="0" pivotButton="0" quotePrefix="0" xfId="0"/>
    <xf numFmtId="0" fontId="13" fillId="0" borderId="0" applyAlignment="1" pivotButton="0" quotePrefix="0" xfId="0">
      <alignment wrapText="1"/>
    </xf>
    <xf numFmtId="0" fontId="23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Weighted Score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'Roadmap View'!H10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'Roadmap View'!$F$11:$F$19</f>
            </numRef>
          </cat>
          <val>
            <numRef>
              <f>'Roadmap View'!$H$11:$H$19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eaturePrioritization" displayName="FeaturePrioritization" ref="A4:V64" headerRowCount="1">
  <autoFilter ref="A4:V64"/>
  <tableColumns count="22">
    <tableColumn id="1" name="ID"/>
    <tableColumn id="2" name="Category"/>
    <tableColumn id="3" name="Feature"/>
    <tableColumn id="4" name="Target Phase"/>
    <tableColumn id="5" name="Market Demand"/>
    <tableColumn id="6" name="Revenue Potential"/>
    <tableColumn id="7" name="SEO Value"/>
    <tableColumn id="8" name="Differentiation"/>
    <tableColumn id="9" name="Effort Efficiency"/>
    <tableColumn id="10" name="Weighted Score"/>
    <tableColumn id="11" name="Rank"/>
    <tableColumn id="12" name="Priority Tier"/>
    <tableColumn id="13" name="Confidence"/>
    <tableColumn id="14" name="Reach"/>
    <tableColumn id="15" name="Impact"/>
    <tableColumn id="16" name="Effort"/>
    <tableColumn id="17" name="RICE Score"/>
    <tableColumn id="18" name="Recommended Model"/>
    <tableColumn id="19" name="Strategic Rationale"/>
    <tableColumn id="20" name="Owner"/>
    <tableColumn id="21" name="Status"/>
    <tableColumn id="22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  <col width="16" customWidth="1" min="6" max="6"/>
    <col width="11" customWidth="1" min="7" max="7"/>
    <col width="16" customWidth="1" min="8" max="8"/>
    <col width="15" customWidth="1" min="9" max="9"/>
    <col width="15" customWidth="1" min="10" max="10"/>
    <col width="9" customWidth="1" min="11" max="11"/>
    <col width="19" customWidth="1" min="12" max="12"/>
    <col width="11" customWidth="1" min="13" max="13"/>
    <col width="9" customWidth="1" min="14" max="14"/>
    <col width="9" customWidth="1" min="15" max="15"/>
    <col width="9" customWidth="1" min="16" max="16"/>
    <col width="12" customWidth="1" min="17" max="17"/>
    <col width="24" customWidth="1" min="18" max="18"/>
    <col width="52" customWidth="1" min="19" max="19"/>
    <col width="18" customWidth="1" min="20" max="20"/>
    <col width="14" customWidth="1" min="21" max="21"/>
    <col width="28" customWidth="1" min="22" max="22"/>
  </cols>
  <sheetData>
    <row r="1">
      <c r="A1" s="1" t="inlineStr">
        <is>
          <t>POWER PLATFORM FEATURE PRIORITIZATION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Edit blue 1–10 score cells and the Scoring Weights sheet. Rankings, tiers, and RICE recalculate automatically in Excel.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4" t="inlineStr">
        <is>
          <t>ID</t>
        </is>
      </c>
      <c r="B4" s="4" t="inlineStr">
        <is>
          <t>Category</t>
        </is>
      </c>
      <c r="C4" s="4" t="inlineStr">
        <is>
          <t>Feature</t>
        </is>
      </c>
      <c r="D4" s="4" t="inlineStr">
        <is>
          <t>Target Phase</t>
        </is>
      </c>
      <c r="E4" s="4" t="inlineStr">
        <is>
          <t>Market Demand</t>
        </is>
      </c>
      <c r="F4" s="4" t="inlineStr">
        <is>
          <t>Revenue Potential</t>
        </is>
      </c>
      <c r="G4" s="4" t="inlineStr">
        <is>
          <t>SEO Value</t>
        </is>
      </c>
      <c r="H4" s="4" t="inlineStr">
        <is>
          <t>Differentiation</t>
        </is>
      </c>
      <c r="I4" s="4" t="inlineStr">
        <is>
          <t>Effort Efficiency</t>
        </is>
      </c>
      <c r="J4" s="4" t="inlineStr">
        <is>
          <t>Weighted Score</t>
        </is>
      </c>
      <c r="K4" s="4" t="inlineStr">
        <is>
          <t>Rank</t>
        </is>
      </c>
      <c r="L4" s="4" t="inlineStr">
        <is>
          <t>Priority Tier</t>
        </is>
      </c>
      <c r="M4" s="4" t="inlineStr">
        <is>
          <t>Confidence</t>
        </is>
      </c>
      <c r="N4" s="4" t="inlineStr">
        <is>
          <t>Reach</t>
        </is>
      </c>
      <c r="O4" s="4" t="inlineStr">
        <is>
          <t>Impact</t>
        </is>
      </c>
      <c r="P4" s="4" t="inlineStr">
        <is>
          <t>Effort</t>
        </is>
      </c>
      <c r="Q4" s="4" t="inlineStr">
        <is>
          <t>RICE Score</t>
        </is>
      </c>
      <c r="R4" s="4" t="inlineStr">
        <is>
          <t>Recommended Model</t>
        </is>
      </c>
      <c r="S4" s="4" t="inlineStr">
        <is>
          <t>Strategic Rationale</t>
        </is>
      </c>
      <c r="T4" s="4" t="inlineStr">
        <is>
          <t>Owner</t>
        </is>
      </c>
      <c r="U4" s="4" t="inlineStr">
        <is>
          <t>Status</t>
        </is>
      </c>
      <c r="V4" s="4" t="inlineStr">
        <is>
          <t>Notes</t>
        </is>
      </c>
    </row>
    <row r="5" ht="34" customHeight="1">
      <c r="A5" s="5" t="n">
        <v>1</v>
      </c>
      <c r="B5" s="5" t="inlineStr">
        <is>
          <t>Power Apps</t>
        </is>
      </c>
      <c r="C5" s="5" t="inlineStr">
        <is>
          <t>Power Apps Component Library</t>
        </is>
      </c>
      <c r="D5" s="5" t="inlineStr">
        <is>
          <t>MVP</t>
        </is>
      </c>
      <c r="E5" s="6" t="n">
        <v>10</v>
      </c>
      <c r="F5" s="6" t="n">
        <v>9</v>
      </c>
      <c r="G5" s="6" t="n">
        <v>9</v>
      </c>
      <c r="H5" s="6" t="n">
        <v>9</v>
      </c>
      <c r="I5" s="6" t="n">
        <v>8</v>
      </c>
      <c r="J5" s="7">
        <f>ROUND(SUMPRODUCT(E5:I5,'Scoring Weights'!$B$4:$B$8)*10,1)</f>
        <v/>
      </c>
      <c r="K5" s="7">
        <f>RANK.EQ(J5,$J$5:$J$64,0)</f>
        <v/>
      </c>
      <c r="L5" s="7">
        <f>IF(J5&gt;='Scoring Weights'!$B$13,'Scoring Weights'!$A$13,IF(J5&gt;='Scoring Weights'!$B$14,'Scoring Weights'!$A$14,IF(J5&gt;='Scoring Weights'!$B$15,'Scoring Weights'!$A$15,'Scoring Weights'!$A$16)))</f>
        <v/>
      </c>
      <c r="M5" s="6" t="n">
        <v>9</v>
      </c>
      <c r="N5" s="6" t="n">
        <v>10</v>
      </c>
      <c r="O5" s="6" t="n">
        <v>10</v>
      </c>
      <c r="P5" s="6" t="n">
        <v>3</v>
      </c>
      <c r="Q5" s="7">
        <f>ROUND((N5*O5*M5)/P5,1)</f>
        <v/>
      </c>
      <c r="R5" s="5" t="inlineStr">
        <is>
          <t>Freemium + Pro</t>
        </is>
      </c>
      <c r="S5" s="8" t="inlineStr">
        <is>
          <t>Core acquisition wedge; reusable production UI assets</t>
        </is>
      </c>
      <c r="T5" s="6" t="inlineStr"/>
      <c r="U5" s="6" t="inlineStr">
        <is>
          <t>Backlog</t>
        </is>
      </c>
      <c r="V5" s="6" t="inlineStr"/>
    </row>
    <row r="6" ht="34" customHeight="1">
      <c r="A6" s="5" t="n">
        <v>2</v>
      </c>
      <c r="B6" s="5" t="inlineStr">
        <is>
          <t>Power Apps</t>
        </is>
      </c>
      <c r="C6" s="5" t="inlineStr">
        <is>
          <t>Power Apps YAML Exporter</t>
        </is>
      </c>
      <c r="D6" s="5" t="inlineStr">
        <is>
          <t>MVP</t>
        </is>
      </c>
      <c r="E6" s="6" t="n">
        <v>10</v>
      </c>
      <c r="F6" s="6" t="n">
        <v>9</v>
      </c>
      <c r="G6" s="6" t="n">
        <v>8</v>
      </c>
      <c r="H6" s="6" t="n">
        <v>10</v>
      </c>
      <c r="I6" s="6" t="n">
        <v>7</v>
      </c>
      <c r="J6" s="7">
        <f>ROUND(SUMPRODUCT(E6:I6,'Scoring Weights'!$B$4:$B$8)*10,1)</f>
        <v/>
      </c>
      <c r="K6" s="7">
        <f>RANK.EQ(J6,$J$5:$J$64,0)</f>
        <v/>
      </c>
      <c r="L6" s="7">
        <f>IF(J6&gt;='Scoring Weights'!$B$13,'Scoring Weights'!$A$13,IF(J6&gt;='Scoring Weights'!$B$14,'Scoring Weights'!$A$14,IF(J6&gt;='Scoring Weights'!$B$15,'Scoring Weights'!$A$15,'Scoring Weights'!$A$16)))</f>
        <v/>
      </c>
      <c r="M6" s="6" t="n">
        <v>8</v>
      </c>
      <c r="N6" s="6" t="n">
        <v>9</v>
      </c>
      <c r="O6" s="6" t="n">
        <v>10</v>
      </c>
      <c r="P6" s="6" t="n">
        <v>4</v>
      </c>
      <c r="Q6" s="7">
        <f>ROUND((N6*O6*M6)/P6,1)</f>
        <v/>
      </c>
      <c r="R6" s="5" t="inlineStr">
        <is>
          <t>Pro subscription</t>
        </is>
      </c>
      <c r="S6" s="8" t="inlineStr">
        <is>
          <t>Converts discovery into immediate maker productivity</t>
        </is>
      </c>
      <c r="T6" s="6" t="inlineStr"/>
      <c r="U6" s="6" t="inlineStr">
        <is>
          <t>Backlog</t>
        </is>
      </c>
      <c r="V6" s="6" t="inlineStr"/>
    </row>
    <row r="7" ht="34" customHeight="1">
      <c r="A7" s="5" t="n">
        <v>3</v>
      </c>
      <c r="B7" s="5" t="inlineStr">
        <is>
          <t>Power Apps</t>
        </is>
      </c>
      <c r="C7" s="5" t="inlineStr">
        <is>
          <t>Responsive Layout Library</t>
        </is>
      </c>
      <c r="D7" s="5" t="inlineStr">
        <is>
          <t>MVP</t>
        </is>
      </c>
      <c r="E7" s="6" t="n">
        <v>10</v>
      </c>
      <c r="F7" s="6" t="n">
        <v>8</v>
      </c>
      <c r="G7" s="6" t="n">
        <v>9</v>
      </c>
      <c r="H7" s="6" t="n">
        <v>8</v>
      </c>
      <c r="I7" s="6" t="n">
        <v>9</v>
      </c>
      <c r="J7" s="7">
        <f>ROUND(SUMPRODUCT(E7:I7,'Scoring Weights'!$B$4:$B$8)*10,1)</f>
        <v/>
      </c>
      <c r="K7" s="7">
        <f>RANK.EQ(J7,$J$5:$J$64,0)</f>
        <v/>
      </c>
      <c r="L7" s="7">
        <f>IF(J7&gt;='Scoring Weights'!$B$13,'Scoring Weights'!$A$13,IF(J7&gt;='Scoring Weights'!$B$14,'Scoring Weights'!$A$14,IF(J7&gt;='Scoring Weights'!$B$15,'Scoring Weights'!$A$15,'Scoring Weights'!$A$16)))</f>
        <v/>
      </c>
      <c r="M7" s="6" t="n">
        <v>9</v>
      </c>
      <c r="N7" s="6" t="n">
        <v>10</v>
      </c>
      <c r="O7" s="6" t="n">
        <v>9</v>
      </c>
      <c r="P7" s="6" t="n">
        <v>2</v>
      </c>
      <c r="Q7" s="7">
        <f>ROUND((N7*O7*M7)/P7,1)</f>
        <v/>
      </c>
      <c r="R7" s="5" t="inlineStr">
        <is>
          <t>Freemium</t>
        </is>
      </c>
      <c r="S7" s="8" t="inlineStr">
        <is>
          <t>Common implementation pain with fast time to value</t>
        </is>
      </c>
      <c r="T7" s="6" t="inlineStr"/>
      <c r="U7" s="6" t="inlineStr">
        <is>
          <t>Backlog</t>
        </is>
      </c>
      <c r="V7" s="6" t="inlineStr"/>
    </row>
    <row r="8" ht="34" customHeight="1">
      <c r="A8" s="5" t="n">
        <v>4</v>
      </c>
      <c r="B8" s="5" t="inlineStr">
        <is>
          <t>Power Apps</t>
        </is>
      </c>
      <c r="C8" s="5" t="inlineStr">
        <is>
          <t>Enterprise Design System</t>
        </is>
      </c>
      <c r="D8" s="5" t="inlineStr">
        <is>
          <t>Growth</t>
        </is>
      </c>
      <c r="E8" s="6" t="n">
        <v>9</v>
      </c>
      <c r="F8" s="6" t="n">
        <v>10</v>
      </c>
      <c r="G8" s="6" t="n">
        <v>7</v>
      </c>
      <c r="H8" s="6" t="n">
        <v>10</v>
      </c>
      <c r="I8" s="6" t="n">
        <v>5</v>
      </c>
      <c r="J8" s="7">
        <f>ROUND(SUMPRODUCT(E8:I8,'Scoring Weights'!$B$4:$B$8)*10,1)</f>
        <v/>
      </c>
      <c r="K8" s="7">
        <f>RANK.EQ(J8,$J$5:$J$64,0)</f>
        <v/>
      </c>
      <c r="L8" s="7">
        <f>IF(J8&gt;='Scoring Weights'!$B$13,'Scoring Weights'!$A$13,IF(J8&gt;='Scoring Weights'!$B$14,'Scoring Weights'!$A$14,IF(J8&gt;='Scoring Weights'!$B$15,'Scoring Weights'!$A$15,'Scoring Weights'!$A$16)))</f>
        <v/>
      </c>
      <c r="M8" s="6" t="n">
        <v>8</v>
      </c>
      <c r="N8" s="6" t="n">
        <v>8</v>
      </c>
      <c r="O8" s="6" t="n">
        <v>10</v>
      </c>
      <c r="P8" s="6" t="n">
        <v>7</v>
      </c>
      <c r="Q8" s="7">
        <f>ROUND((N8*O8*M8)/P8,1)</f>
        <v/>
      </c>
      <c r="R8" s="5" t="inlineStr">
        <is>
          <t>Enterprise license</t>
        </is>
      </c>
      <c r="S8" s="8" t="inlineStr">
        <is>
          <t>High-value standardization for consulting and enterprises</t>
        </is>
      </c>
      <c r="T8" s="6" t="inlineStr"/>
      <c r="U8" s="6" t="inlineStr">
        <is>
          <t>Backlog</t>
        </is>
      </c>
      <c r="V8" s="6" t="inlineStr"/>
    </row>
    <row r="9" ht="34" customHeight="1">
      <c r="A9" s="5" t="n">
        <v>5</v>
      </c>
      <c r="B9" s="5" t="inlineStr">
        <is>
          <t>Power Apps</t>
        </is>
      </c>
      <c r="C9" s="5" t="inlineStr">
        <is>
          <t>Government UX Toolkit</t>
        </is>
      </c>
      <c r="D9" s="5" t="inlineStr">
        <is>
          <t>Growth</t>
        </is>
      </c>
      <c r="E9" s="6" t="n">
        <v>8</v>
      </c>
      <c r="F9" s="6" t="n">
        <v>10</v>
      </c>
      <c r="G9" s="6" t="n">
        <v>6</v>
      </c>
      <c r="H9" s="6" t="n">
        <v>10</v>
      </c>
      <c r="I9" s="6" t="n">
        <v>6</v>
      </c>
      <c r="J9" s="7">
        <f>ROUND(SUMPRODUCT(E9:I9,'Scoring Weights'!$B$4:$B$8)*10,1)</f>
        <v/>
      </c>
      <c r="K9" s="7">
        <f>RANK.EQ(J9,$J$5:$J$64,0)</f>
        <v/>
      </c>
      <c r="L9" s="7">
        <f>IF(J9&gt;='Scoring Weights'!$B$13,'Scoring Weights'!$A$13,IF(J9&gt;='Scoring Weights'!$B$14,'Scoring Weights'!$A$14,IF(J9&gt;='Scoring Weights'!$B$15,'Scoring Weights'!$A$15,'Scoring Weights'!$A$16)))</f>
        <v/>
      </c>
      <c r="M9" s="6" t="n">
        <v>8</v>
      </c>
      <c r="N9" s="6" t="n">
        <v>6</v>
      </c>
      <c r="O9" s="6" t="n">
        <v>10</v>
      </c>
      <c r="P9" s="6" t="n">
        <v>6</v>
      </c>
      <c r="Q9" s="7">
        <f>ROUND((N9*O9*M9)/P9,1)</f>
        <v/>
      </c>
      <c r="R9" s="5" t="inlineStr">
        <is>
          <t>Pack + enterprise</t>
        </is>
      </c>
      <c r="S9" s="8" t="inlineStr">
        <is>
          <t>Defensible public-sector accessibility niche</t>
        </is>
      </c>
      <c r="T9" s="6" t="inlineStr"/>
      <c r="U9" s="6" t="inlineStr">
        <is>
          <t>Backlog</t>
        </is>
      </c>
      <c r="V9" s="6" t="inlineStr"/>
    </row>
    <row r="10" ht="34" customHeight="1">
      <c r="A10" s="5" t="n">
        <v>6</v>
      </c>
      <c r="B10" s="5" t="inlineStr">
        <is>
          <t>Power Apps</t>
        </is>
      </c>
      <c r="C10" s="5" t="inlineStr">
        <is>
          <t>Accessibility Template Pack</t>
        </is>
      </c>
      <c r="D10" s="5" t="inlineStr">
        <is>
          <t>MVP</t>
        </is>
      </c>
      <c r="E10" s="6" t="n">
        <v>9</v>
      </c>
      <c r="F10" s="6" t="n">
        <v>9</v>
      </c>
      <c r="G10" s="6" t="n">
        <v>8</v>
      </c>
      <c r="H10" s="6" t="n">
        <v>9</v>
      </c>
      <c r="I10" s="6" t="n">
        <v>8</v>
      </c>
      <c r="J10" s="7">
        <f>ROUND(SUMPRODUCT(E10:I10,'Scoring Weights'!$B$4:$B$8)*10,1)</f>
        <v/>
      </c>
      <c r="K10" s="7">
        <f>RANK.EQ(J10,$J$5:$J$64,0)</f>
        <v/>
      </c>
      <c r="L10" s="7">
        <f>IF(J10&gt;='Scoring Weights'!$B$13,'Scoring Weights'!$A$13,IF(J10&gt;='Scoring Weights'!$B$14,'Scoring Weights'!$A$14,IF(J10&gt;='Scoring Weights'!$B$15,'Scoring Weights'!$A$15,'Scoring Weights'!$A$16)))</f>
        <v/>
      </c>
      <c r="M10" s="6" t="n">
        <v>9</v>
      </c>
      <c r="N10" s="6" t="n">
        <v>8</v>
      </c>
      <c r="O10" s="6" t="n">
        <v>9</v>
      </c>
      <c r="P10" s="6" t="n">
        <v>3</v>
      </c>
      <c r="Q10" s="7">
        <f>ROUND((N10*O10*M10)/P10,1)</f>
        <v/>
      </c>
      <c r="R10" s="5" t="inlineStr">
        <is>
          <t>Premium pack</t>
        </is>
      </c>
      <c r="S10" s="8" t="inlineStr">
        <is>
          <t>Practical compliance accelerator</t>
        </is>
      </c>
      <c r="T10" s="6" t="inlineStr"/>
      <c r="U10" s="6" t="inlineStr">
        <is>
          <t>Backlog</t>
        </is>
      </c>
      <c r="V10" s="6" t="inlineStr"/>
    </row>
    <row r="11" ht="34" customHeight="1">
      <c r="A11" s="5" t="n">
        <v>7</v>
      </c>
      <c r="B11" s="5" t="inlineStr">
        <is>
          <t>Power Apps</t>
        </is>
      </c>
      <c r="C11" s="5" t="inlineStr">
        <is>
          <t>Canvas App Template Marketplace</t>
        </is>
      </c>
      <c r="D11" s="5" t="inlineStr">
        <is>
          <t>MVP</t>
        </is>
      </c>
      <c r="E11" s="6" t="n">
        <v>9</v>
      </c>
      <c r="F11" s="6" t="n">
        <v>9</v>
      </c>
      <c r="G11" s="6" t="n">
        <v>9</v>
      </c>
      <c r="H11" s="6" t="n">
        <v>8</v>
      </c>
      <c r="I11" s="6" t="n">
        <v>7</v>
      </c>
      <c r="J11" s="7">
        <f>ROUND(SUMPRODUCT(E11:I11,'Scoring Weights'!$B$4:$B$8)*10,1)</f>
        <v/>
      </c>
      <c r="K11" s="7">
        <f>RANK.EQ(J11,$J$5:$J$64,0)</f>
        <v/>
      </c>
      <c r="L11" s="7">
        <f>IF(J11&gt;='Scoring Weights'!$B$13,'Scoring Weights'!$A$13,IF(J11&gt;='Scoring Weights'!$B$14,'Scoring Weights'!$A$14,IF(J11&gt;='Scoring Weights'!$B$15,'Scoring Weights'!$A$15,'Scoring Weights'!$A$16)))</f>
        <v/>
      </c>
      <c r="M11" s="6" t="n">
        <v>8</v>
      </c>
      <c r="N11" s="6" t="n">
        <v>9</v>
      </c>
      <c r="O11" s="6" t="n">
        <v>9</v>
      </c>
      <c r="P11" s="6" t="n">
        <v>5</v>
      </c>
      <c r="Q11" s="7">
        <f>ROUND((N11*O11*M11)/P11,1)</f>
        <v/>
      </c>
      <c r="R11" s="5" t="inlineStr">
        <is>
          <t>Marketplace commission</t>
        </is>
      </c>
      <c r="S11" s="8" t="inlineStr">
        <is>
          <t>Broad marketplace entry point</t>
        </is>
      </c>
      <c r="T11" s="6" t="inlineStr"/>
      <c r="U11" s="6" t="inlineStr">
        <is>
          <t>Backlog</t>
        </is>
      </c>
      <c r="V11" s="6" t="inlineStr"/>
    </row>
    <row r="12" ht="34" customHeight="1">
      <c r="A12" s="5" t="n">
        <v>8</v>
      </c>
      <c r="B12" s="5" t="inlineStr">
        <is>
          <t>Power Apps</t>
        </is>
      </c>
      <c r="C12" s="5" t="inlineStr">
        <is>
          <t>Form Template Library</t>
        </is>
      </c>
      <c r="D12" s="5" t="inlineStr">
        <is>
          <t>MVP</t>
        </is>
      </c>
      <c r="E12" s="6" t="n">
        <v>9</v>
      </c>
      <c r="F12" s="6" t="n">
        <v>8</v>
      </c>
      <c r="G12" s="6" t="n">
        <v>9</v>
      </c>
      <c r="H12" s="6" t="n">
        <v>7</v>
      </c>
      <c r="I12" s="6" t="n">
        <v>9</v>
      </c>
      <c r="J12" s="7">
        <f>ROUND(SUMPRODUCT(E12:I12,'Scoring Weights'!$B$4:$B$8)*10,1)</f>
        <v/>
      </c>
      <c r="K12" s="7">
        <f>RANK.EQ(J12,$J$5:$J$64,0)</f>
        <v/>
      </c>
      <c r="L12" s="7">
        <f>IF(J12&gt;='Scoring Weights'!$B$13,'Scoring Weights'!$A$13,IF(J12&gt;='Scoring Weights'!$B$14,'Scoring Weights'!$A$14,IF(J12&gt;='Scoring Weights'!$B$15,'Scoring Weights'!$A$15,'Scoring Weights'!$A$16)))</f>
        <v/>
      </c>
      <c r="M12" s="6" t="n">
        <v>9</v>
      </c>
      <c r="N12" s="6" t="n">
        <v>9</v>
      </c>
      <c r="O12" s="6" t="n">
        <v>8</v>
      </c>
      <c r="P12" s="6" t="n">
        <v>2</v>
      </c>
      <c r="Q12" s="7">
        <f>ROUND((N12*O12*M12)/P12,1)</f>
        <v/>
      </c>
      <c r="R12" s="5" t="inlineStr">
        <is>
          <t>Freemium</t>
        </is>
      </c>
      <c r="S12" s="8" t="inlineStr">
        <is>
          <t>High-frequency maker need</t>
        </is>
      </c>
      <c r="T12" s="6" t="inlineStr"/>
      <c r="U12" s="6" t="inlineStr">
        <is>
          <t>Backlog</t>
        </is>
      </c>
      <c r="V12" s="6" t="inlineStr"/>
    </row>
    <row r="13" ht="34" customHeight="1">
      <c r="A13" s="5" t="n">
        <v>9</v>
      </c>
      <c r="B13" s="5" t="inlineStr">
        <is>
          <t>Power Apps</t>
        </is>
      </c>
      <c r="C13" s="5" t="inlineStr">
        <is>
          <t>Dashboard Screen Templates</t>
        </is>
      </c>
      <c r="D13" s="5" t="inlineStr">
        <is>
          <t>MVP</t>
        </is>
      </c>
      <c r="E13" s="6" t="n">
        <v>9</v>
      </c>
      <c r="F13" s="6" t="n">
        <v>8</v>
      </c>
      <c r="G13" s="6" t="n">
        <v>8</v>
      </c>
      <c r="H13" s="6" t="n">
        <v>8</v>
      </c>
      <c r="I13" s="6" t="n">
        <v>9</v>
      </c>
      <c r="J13" s="7">
        <f>ROUND(SUMPRODUCT(E13:I13,'Scoring Weights'!$B$4:$B$8)*10,1)</f>
        <v/>
      </c>
      <c r="K13" s="7">
        <f>RANK.EQ(J13,$J$5:$J$64,0)</f>
        <v/>
      </c>
      <c r="L13" s="7">
        <f>IF(J13&gt;='Scoring Weights'!$B$13,'Scoring Weights'!$A$13,IF(J13&gt;='Scoring Weights'!$B$14,'Scoring Weights'!$A$14,IF(J13&gt;='Scoring Weights'!$B$15,'Scoring Weights'!$A$15,'Scoring Weights'!$A$16)))</f>
        <v/>
      </c>
      <c r="M13" s="6" t="n">
        <v>9</v>
      </c>
      <c r="N13" s="6" t="n">
        <v>8</v>
      </c>
      <c r="O13" s="6" t="n">
        <v>8</v>
      </c>
      <c r="P13" s="6" t="n">
        <v>2</v>
      </c>
      <c r="Q13" s="7">
        <f>ROUND((N13*O13*M13)/P13,1)</f>
        <v/>
      </c>
      <c r="R13" s="5" t="inlineStr">
        <is>
          <t>Premium pack</t>
        </is>
      </c>
      <c r="S13" s="8" t="inlineStr">
        <is>
          <t>Visual acquisition and bundle potential</t>
        </is>
      </c>
      <c r="T13" s="6" t="inlineStr"/>
      <c r="U13" s="6" t="inlineStr">
        <is>
          <t>Backlog</t>
        </is>
      </c>
      <c r="V13" s="6" t="inlineStr"/>
    </row>
    <row r="14" ht="34" customHeight="1">
      <c r="A14" s="5" t="n">
        <v>10</v>
      </c>
      <c r="B14" s="5" t="inlineStr">
        <is>
          <t>Power Apps</t>
        </is>
      </c>
      <c r="C14" s="5" t="inlineStr">
        <is>
          <t>PCF Control Marketplace</t>
        </is>
      </c>
      <c r="D14" s="5" t="inlineStr">
        <is>
          <t>Scale</t>
        </is>
      </c>
      <c r="E14" s="6" t="n">
        <v>9</v>
      </c>
      <c r="F14" s="6" t="n">
        <v>10</v>
      </c>
      <c r="G14" s="6" t="n">
        <v>8</v>
      </c>
      <c r="H14" s="6" t="n">
        <v>8</v>
      </c>
      <c r="I14" s="6" t="n">
        <v>4</v>
      </c>
      <c r="J14" s="7">
        <f>ROUND(SUMPRODUCT(E14:I14,'Scoring Weights'!$B$4:$B$8)*10,1)</f>
        <v/>
      </c>
      <c r="K14" s="7">
        <f>RANK.EQ(J14,$J$5:$J$64,0)</f>
        <v/>
      </c>
      <c r="L14" s="7">
        <f>IF(J14&gt;='Scoring Weights'!$B$13,'Scoring Weights'!$A$13,IF(J14&gt;='Scoring Weights'!$B$14,'Scoring Weights'!$A$14,IF(J14&gt;='Scoring Weights'!$B$15,'Scoring Weights'!$A$15,'Scoring Weights'!$A$16)))</f>
        <v/>
      </c>
      <c r="M14" s="6" t="n">
        <v>7</v>
      </c>
      <c r="N14" s="6" t="n">
        <v>8</v>
      </c>
      <c r="O14" s="6" t="n">
        <v>10</v>
      </c>
      <c r="P14" s="6" t="n">
        <v>9</v>
      </c>
      <c r="Q14" s="7">
        <f>ROUND((N14*O14*M14)/P14,1)</f>
        <v/>
      </c>
      <c r="R14" s="5" t="inlineStr">
        <is>
          <t>Marketplace commission</t>
        </is>
      </c>
      <c r="S14" s="8" t="inlineStr">
        <is>
          <t>Higher technical value but support-heavy</t>
        </is>
      </c>
      <c r="T14" s="6" t="inlineStr"/>
      <c r="U14" s="6" t="inlineStr">
        <is>
          <t>Backlog</t>
        </is>
      </c>
      <c r="V14" s="6" t="inlineStr"/>
    </row>
    <row r="15" ht="34" customHeight="1">
      <c r="A15" s="5" t="n">
        <v>11</v>
      </c>
      <c r="B15" s="5" t="inlineStr">
        <is>
          <t>Power Apps</t>
        </is>
      </c>
      <c r="C15" s="5" t="inlineStr">
        <is>
          <t>Theme and Palette Generator</t>
        </is>
      </c>
      <c r="D15" s="5" t="inlineStr">
        <is>
          <t>MVP</t>
        </is>
      </c>
      <c r="E15" s="6" t="n">
        <v>10</v>
      </c>
      <c r="F15" s="6" t="n">
        <v>8</v>
      </c>
      <c r="G15" s="6" t="n">
        <v>10</v>
      </c>
      <c r="H15" s="6" t="n">
        <v>8</v>
      </c>
      <c r="I15" s="6" t="n">
        <v>9</v>
      </c>
      <c r="J15" s="7">
        <f>ROUND(SUMPRODUCT(E15:I15,'Scoring Weights'!$B$4:$B$8)*10,1)</f>
        <v/>
      </c>
      <c r="K15" s="7">
        <f>RANK.EQ(J15,$J$5:$J$64,0)</f>
        <v/>
      </c>
      <c r="L15" s="7">
        <f>IF(J15&gt;='Scoring Weights'!$B$13,'Scoring Weights'!$A$13,IF(J15&gt;='Scoring Weights'!$B$14,'Scoring Weights'!$A$14,IF(J15&gt;='Scoring Weights'!$B$15,'Scoring Weights'!$A$15,'Scoring Weights'!$A$16)))</f>
        <v/>
      </c>
      <c r="M15" s="6" t="n">
        <v>9</v>
      </c>
      <c r="N15" s="6" t="n">
        <v>10</v>
      </c>
      <c r="O15" s="6" t="n">
        <v>8</v>
      </c>
      <c r="P15" s="6" t="n">
        <v>2</v>
      </c>
      <c r="Q15" s="7">
        <f>ROUND((N15*O15*M15)/P15,1)</f>
        <v/>
      </c>
      <c r="R15" s="5" t="inlineStr">
        <is>
          <t>Freemium + sponsorship</t>
        </is>
      </c>
      <c r="S15" s="8" t="inlineStr">
        <is>
          <t>SEO-friendly free tool and lead magnet</t>
        </is>
      </c>
      <c r="T15" s="6" t="inlineStr"/>
      <c r="U15" s="6" t="inlineStr">
        <is>
          <t>Backlog</t>
        </is>
      </c>
      <c r="V15" s="6" t="inlineStr"/>
    </row>
    <row r="16" ht="34" customHeight="1">
      <c r="A16" s="5" t="n">
        <v>12</v>
      </c>
      <c r="B16" s="5" t="inlineStr">
        <is>
          <t>Power Apps</t>
        </is>
      </c>
      <c r="C16" s="5" t="inlineStr">
        <is>
          <t>Component AI Configurator</t>
        </is>
      </c>
      <c r="D16" s="5" t="inlineStr">
        <is>
          <t>Growth</t>
        </is>
      </c>
      <c r="E16" s="6" t="n">
        <v>9</v>
      </c>
      <c r="F16" s="6" t="n">
        <v>9</v>
      </c>
      <c r="G16" s="6" t="n">
        <v>8</v>
      </c>
      <c r="H16" s="6" t="n">
        <v>10</v>
      </c>
      <c r="I16" s="6" t="n">
        <v>5</v>
      </c>
      <c r="J16" s="7">
        <f>ROUND(SUMPRODUCT(E16:I16,'Scoring Weights'!$B$4:$B$8)*10,1)</f>
        <v/>
      </c>
      <c r="K16" s="7">
        <f>RANK.EQ(J16,$J$5:$J$64,0)</f>
        <v/>
      </c>
      <c r="L16" s="7">
        <f>IF(J16&gt;='Scoring Weights'!$B$13,'Scoring Weights'!$A$13,IF(J16&gt;='Scoring Weights'!$B$14,'Scoring Weights'!$A$14,IF(J16&gt;='Scoring Weights'!$B$15,'Scoring Weights'!$A$15,'Scoring Weights'!$A$16)))</f>
        <v/>
      </c>
      <c r="M16" s="6" t="n">
        <v>7</v>
      </c>
      <c r="N16" s="6" t="n">
        <v>8</v>
      </c>
      <c r="O16" s="6" t="n">
        <v>9</v>
      </c>
      <c r="P16" s="6" t="n">
        <v>8</v>
      </c>
      <c r="Q16" s="7">
        <f>ROUND((N16*O16*M16)/P16,1)</f>
        <v/>
      </c>
      <c r="R16" s="5" t="inlineStr">
        <is>
          <t>Pro subscription</t>
        </is>
      </c>
      <c r="S16" s="8" t="inlineStr">
        <is>
          <t>Strong differentiation with export upsell</t>
        </is>
      </c>
      <c r="T16" s="6" t="inlineStr"/>
      <c r="U16" s="6" t="inlineStr">
        <is>
          <t>Backlog</t>
        </is>
      </c>
      <c r="V16" s="6" t="inlineStr"/>
    </row>
    <row r="17" ht="34" customHeight="1">
      <c r="A17" s="5" t="n">
        <v>13</v>
      </c>
      <c r="B17" s="5" t="inlineStr">
        <is>
          <t>Power Automate</t>
        </is>
      </c>
      <c r="C17" s="5" t="inlineStr">
        <is>
          <t>Flow Expression Builder</t>
        </is>
      </c>
      <c r="D17" s="5" t="inlineStr">
        <is>
          <t>MVP</t>
        </is>
      </c>
      <c r="E17" s="6" t="n">
        <v>10</v>
      </c>
      <c r="F17" s="6" t="n">
        <v>8</v>
      </c>
      <c r="G17" s="6" t="n">
        <v>10</v>
      </c>
      <c r="H17" s="6" t="n">
        <v>8</v>
      </c>
      <c r="I17" s="6" t="n">
        <v>9</v>
      </c>
      <c r="J17" s="7">
        <f>ROUND(SUMPRODUCT(E17:I17,'Scoring Weights'!$B$4:$B$8)*10,1)</f>
        <v/>
      </c>
      <c r="K17" s="7">
        <f>RANK.EQ(J17,$J$5:$J$64,0)</f>
        <v/>
      </c>
      <c r="L17" s="7">
        <f>IF(J17&gt;='Scoring Weights'!$B$13,'Scoring Weights'!$A$13,IF(J17&gt;='Scoring Weights'!$B$14,'Scoring Weights'!$A$14,IF(J17&gt;='Scoring Weights'!$B$15,'Scoring Weights'!$A$15,'Scoring Weights'!$A$16)))</f>
        <v/>
      </c>
      <c r="M17" s="6" t="n">
        <v>9</v>
      </c>
      <c r="N17" s="6" t="n">
        <v>10</v>
      </c>
      <c r="O17" s="6" t="n">
        <v>8</v>
      </c>
      <c r="P17" s="6" t="n">
        <v>2</v>
      </c>
      <c r="Q17" s="7">
        <f>ROUND((N17*O17*M17)/P17,1)</f>
        <v/>
      </c>
      <c r="R17" s="5" t="inlineStr">
        <is>
          <t>Freemium</t>
        </is>
      </c>
      <c r="S17" s="8" t="inlineStr">
        <is>
          <t>High-volume search intent and low build effort</t>
        </is>
      </c>
      <c r="T17" s="6" t="inlineStr"/>
      <c r="U17" s="6" t="inlineStr">
        <is>
          <t>Backlog</t>
        </is>
      </c>
      <c r="V17" s="6" t="inlineStr"/>
    </row>
    <row r="18" ht="34" customHeight="1">
      <c r="A18" s="5" t="n">
        <v>14</v>
      </c>
      <c r="B18" s="5" t="inlineStr">
        <is>
          <t>Power Automate</t>
        </is>
      </c>
      <c r="C18" s="5" t="inlineStr">
        <is>
          <t>Error Handling Framework</t>
        </is>
      </c>
      <c r="D18" s="5" t="inlineStr">
        <is>
          <t>MVP</t>
        </is>
      </c>
      <c r="E18" s="6" t="n">
        <v>10</v>
      </c>
      <c r="F18" s="6" t="n">
        <v>9</v>
      </c>
      <c r="G18" s="6" t="n">
        <v>9</v>
      </c>
      <c r="H18" s="6" t="n">
        <v>9</v>
      </c>
      <c r="I18" s="6" t="n">
        <v>8</v>
      </c>
      <c r="J18" s="7">
        <f>ROUND(SUMPRODUCT(E18:I18,'Scoring Weights'!$B$4:$B$8)*10,1)</f>
        <v/>
      </c>
      <c r="K18" s="7">
        <f>RANK.EQ(J18,$J$5:$J$64,0)</f>
        <v/>
      </c>
      <c r="L18" s="7">
        <f>IF(J18&gt;='Scoring Weights'!$B$13,'Scoring Weights'!$A$13,IF(J18&gt;='Scoring Weights'!$B$14,'Scoring Weights'!$A$14,IF(J18&gt;='Scoring Weights'!$B$15,'Scoring Weights'!$A$15,'Scoring Weights'!$A$16)))</f>
        <v/>
      </c>
      <c r="M18" s="6" t="n">
        <v>9</v>
      </c>
      <c r="N18" s="6" t="n">
        <v>9</v>
      </c>
      <c r="O18" s="6" t="n">
        <v>10</v>
      </c>
      <c r="P18" s="6" t="n">
        <v>3</v>
      </c>
      <c r="Q18" s="7">
        <f>ROUND((N18*O18*M18)/P18,1)</f>
        <v/>
      </c>
      <c r="R18" s="5" t="inlineStr">
        <is>
          <t>Premium pack</t>
        </is>
      </c>
      <c r="S18" s="8" t="inlineStr">
        <is>
          <t>Production reliability pain</t>
        </is>
      </c>
      <c r="T18" s="6" t="inlineStr"/>
      <c r="U18" s="6" t="inlineStr">
        <is>
          <t>Backlog</t>
        </is>
      </c>
      <c r="V18" s="6" t="inlineStr"/>
    </row>
    <row r="19" ht="34" customHeight="1">
      <c r="A19" s="5" t="n">
        <v>15</v>
      </c>
      <c r="B19" s="5" t="inlineStr">
        <is>
          <t>Power Automate</t>
        </is>
      </c>
      <c r="C19" s="5" t="inlineStr">
        <is>
          <t>Reusable Child Flow Framework</t>
        </is>
      </c>
      <c r="D19" s="5" t="inlineStr">
        <is>
          <t>MVP</t>
        </is>
      </c>
      <c r="E19" s="6" t="n">
        <v>9</v>
      </c>
      <c r="F19" s="6" t="n">
        <v>9</v>
      </c>
      <c r="G19" s="6" t="n">
        <v>8</v>
      </c>
      <c r="H19" s="6" t="n">
        <v>9</v>
      </c>
      <c r="I19" s="6" t="n">
        <v>7</v>
      </c>
      <c r="J19" s="7">
        <f>ROUND(SUMPRODUCT(E19:I19,'Scoring Weights'!$B$4:$B$8)*10,1)</f>
        <v/>
      </c>
      <c r="K19" s="7">
        <f>RANK.EQ(J19,$J$5:$J$64,0)</f>
        <v/>
      </c>
      <c r="L19" s="7">
        <f>IF(J19&gt;='Scoring Weights'!$B$13,'Scoring Weights'!$A$13,IF(J19&gt;='Scoring Weights'!$B$14,'Scoring Weights'!$A$14,IF(J19&gt;='Scoring Weights'!$B$15,'Scoring Weights'!$A$15,'Scoring Weights'!$A$16)))</f>
        <v/>
      </c>
      <c r="M19" s="6" t="n">
        <v>9</v>
      </c>
      <c r="N19" s="6" t="n">
        <v>8</v>
      </c>
      <c r="O19" s="6" t="n">
        <v>10</v>
      </c>
      <c r="P19" s="6" t="n">
        <v>4</v>
      </c>
      <c r="Q19" s="7">
        <f>ROUND((N19*O19*M19)/P19,1)</f>
        <v/>
      </c>
      <c r="R19" s="5" t="inlineStr">
        <is>
          <t>Premium pack</t>
        </is>
      </c>
      <c r="S19" s="8" t="inlineStr">
        <is>
          <t>Enterprise pattern with strong bundle value</t>
        </is>
      </c>
      <c r="T19" s="6" t="inlineStr"/>
      <c r="U19" s="6" t="inlineStr">
        <is>
          <t>Backlog</t>
        </is>
      </c>
      <c r="V19" s="6" t="inlineStr"/>
    </row>
    <row r="20" ht="34" customHeight="1">
      <c r="A20" s="5" t="n">
        <v>16</v>
      </c>
      <c r="B20" s="5" t="inlineStr">
        <is>
          <t>Power Automate</t>
        </is>
      </c>
      <c r="C20" s="5" t="inlineStr">
        <is>
          <t>Approval Workflow Framework</t>
        </is>
      </c>
      <c r="D20" s="5" t="inlineStr">
        <is>
          <t>Growth</t>
        </is>
      </c>
      <c r="E20" s="6" t="n">
        <v>9</v>
      </c>
      <c r="F20" s="6" t="n">
        <v>10</v>
      </c>
      <c r="G20" s="6" t="n">
        <v>8</v>
      </c>
      <c r="H20" s="6" t="n">
        <v>9</v>
      </c>
      <c r="I20" s="6" t="n">
        <v>6</v>
      </c>
      <c r="J20" s="7">
        <f>ROUND(SUMPRODUCT(E20:I20,'Scoring Weights'!$B$4:$B$8)*10,1)</f>
        <v/>
      </c>
      <c r="K20" s="7">
        <f>RANK.EQ(J20,$J$5:$J$64,0)</f>
        <v/>
      </c>
      <c r="L20" s="7">
        <f>IF(J20&gt;='Scoring Weights'!$B$13,'Scoring Weights'!$A$13,IF(J20&gt;='Scoring Weights'!$B$14,'Scoring Weights'!$A$14,IF(J20&gt;='Scoring Weights'!$B$15,'Scoring Weights'!$A$15,'Scoring Weights'!$A$16)))</f>
        <v/>
      </c>
      <c r="M20" s="6" t="n">
        <v>8</v>
      </c>
      <c r="N20" s="6" t="n">
        <v>8</v>
      </c>
      <c r="O20" s="6" t="n">
        <v>10</v>
      </c>
      <c r="P20" s="6" t="n">
        <v>6</v>
      </c>
      <c r="Q20" s="7">
        <f>ROUND((N20*O20*M20)/P20,1)</f>
        <v/>
      </c>
      <c r="R20" s="5" t="inlineStr">
        <is>
          <t>Pack + consulting</t>
        </is>
      </c>
      <c r="S20" s="8" t="inlineStr">
        <is>
          <t>Large enterprise use-case breadth</t>
        </is>
      </c>
      <c r="T20" s="6" t="inlineStr"/>
      <c r="U20" s="6" t="inlineStr">
        <is>
          <t>Backlog</t>
        </is>
      </c>
      <c r="V20" s="6" t="inlineStr"/>
    </row>
    <row r="21" ht="34" customHeight="1">
      <c r="A21" s="5" t="n">
        <v>17</v>
      </c>
      <c r="B21" s="5" t="inlineStr">
        <is>
          <t>Power Automate</t>
        </is>
      </c>
      <c r="C21" s="5" t="inlineStr">
        <is>
          <t>Logging and Telemetry Framework</t>
        </is>
      </c>
      <c r="D21" s="5" t="inlineStr">
        <is>
          <t>Growth</t>
        </is>
      </c>
      <c r="E21" s="6" t="n">
        <v>9</v>
      </c>
      <c r="F21" s="6" t="n">
        <v>10</v>
      </c>
      <c r="G21" s="6" t="n">
        <v>7</v>
      </c>
      <c r="H21" s="6" t="n">
        <v>9</v>
      </c>
      <c r="I21" s="6" t="n">
        <v>6</v>
      </c>
      <c r="J21" s="7">
        <f>ROUND(SUMPRODUCT(E21:I21,'Scoring Weights'!$B$4:$B$8)*10,1)</f>
        <v/>
      </c>
      <c r="K21" s="7">
        <f>RANK.EQ(J21,$J$5:$J$64,0)</f>
        <v/>
      </c>
      <c r="L21" s="7">
        <f>IF(J21&gt;='Scoring Weights'!$B$13,'Scoring Weights'!$A$13,IF(J21&gt;='Scoring Weights'!$B$14,'Scoring Weights'!$A$14,IF(J21&gt;='Scoring Weights'!$B$15,'Scoring Weights'!$A$15,'Scoring Weights'!$A$16)))</f>
        <v/>
      </c>
      <c r="M21" s="6" t="n">
        <v>8</v>
      </c>
      <c r="N21" s="6" t="n">
        <v>7</v>
      </c>
      <c r="O21" s="6" t="n">
        <v>10</v>
      </c>
      <c r="P21" s="6" t="n">
        <v>6</v>
      </c>
      <c r="Q21" s="7">
        <f>ROUND((N21*O21*M21)/P21,1)</f>
        <v/>
      </c>
      <c r="R21" s="5" t="inlineStr">
        <is>
          <t>Enterprise license</t>
        </is>
      </c>
      <c r="S21" s="8" t="inlineStr">
        <is>
          <t>Supports production operations</t>
        </is>
      </c>
      <c r="T21" s="6" t="inlineStr"/>
      <c r="U21" s="6" t="inlineStr">
        <is>
          <t>Backlog</t>
        </is>
      </c>
      <c r="V21" s="6" t="inlineStr"/>
    </row>
    <row r="22" ht="34" customHeight="1">
      <c r="A22" s="5" t="n">
        <v>18</v>
      </c>
      <c r="B22" s="5" t="inlineStr">
        <is>
          <t>Power Automate</t>
        </is>
      </c>
      <c r="C22" s="5" t="inlineStr">
        <is>
          <t>Flow Monitoring Dashboard</t>
        </is>
      </c>
      <c r="D22" s="5" t="inlineStr">
        <is>
          <t>Growth</t>
        </is>
      </c>
      <c r="E22" s="6" t="n">
        <v>9</v>
      </c>
      <c r="F22" s="6" t="n">
        <v>10</v>
      </c>
      <c r="G22" s="6" t="n">
        <v>8</v>
      </c>
      <c r="H22" s="6" t="n">
        <v>9</v>
      </c>
      <c r="I22" s="6" t="n">
        <v>5</v>
      </c>
      <c r="J22" s="7">
        <f>ROUND(SUMPRODUCT(E22:I22,'Scoring Weights'!$B$4:$B$8)*10,1)</f>
        <v/>
      </c>
      <c r="K22" s="7">
        <f>RANK.EQ(J22,$J$5:$J$64,0)</f>
        <v/>
      </c>
      <c r="L22" s="7">
        <f>IF(J22&gt;='Scoring Weights'!$B$13,'Scoring Weights'!$A$13,IF(J22&gt;='Scoring Weights'!$B$14,'Scoring Weights'!$A$14,IF(J22&gt;='Scoring Weights'!$B$15,'Scoring Weights'!$A$15,'Scoring Weights'!$A$16)))</f>
        <v/>
      </c>
      <c r="M22" s="6" t="n">
        <v>8</v>
      </c>
      <c r="N22" s="6" t="n">
        <v>8</v>
      </c>
      <c r="O22" s="6" t="n">
        <v>10</v>
      </c>
      <c r="P22" s="6" t="n">
        <v>7</v>
      </c>
      <c r="Q22" s="7">
        <f>ROUND((N22*O22*M22)/P22,1)</f>
        <v/>
      </c>
      <c r="R22" s="5" t="inlineStr">
        <is>
          <t>Subscription</t>
        </is>
      </c>
      <c r="S22" s="8" t="inlineStr">
        <is>
          <t>Recurring operational need</t>
        </is>
      </c>
      <c r="T22" s="6" t="inlineStr"/>
      <c r="U22" s="6" t="inlineStr">
        <is>
          <t>Backlog</t>
        </is>
      </c>
      <c r="V22" s="6" t="inlineStr"/>
    </row>
    <row r="23" ht="34" customHeight="1">
      <c r="A23" s="5" t="n">
        <v>19</v>
      </c>
      <c r="B23" s="5" t="inlineStr">
        <is>
          <t>Power Automate</t>
        </is>
      </c>
      <c r="C23" s="5" t="inlineStr">
        <is>
          <t>Secure API Integration Patterns</t>
        </is>
      </c>
      <c r="D23" s="5" t="inlineStr">
        <is>
          <t>Growth</t>
        </is>
      </c>
      <c r="E23" s="6" t="n">
        <v>8</v>
      </c>
      <c r="F23" s="6" t="n">
        <v>10</v>
      </c>
      <c r="G23" s="6" t="n">
        <v>7</v>
      </c>
      <c r="H23" s="6" t="n">
        <v>10</v>
      </c>
      <c r="I23" s="6" t="n">
        <v>6</v>
      </c>
      <c r="J23" s="7">
        <f>ROUND(SUMPRODUCT(E23:I23,'Scoring Weights'!$B$4:$B$8)*10,1)</f>
        <v/>
      </c>
      <c r="K23" s="7">
        <f>RANK.EQ(J23,$J$5:$J$64,0)</f>
        <v/>
      </c>
      <c r="L23" s="7">
        <f>IF(J23&gt;='Scoring Weights'!$B$13,'Scoring Weights'!$A$13,IF(J23&gt;='Scoring Weights'!$B$14,'Scoring Weights'!$A$14,IF(J23&gt;='Scoring Weights'!$B$15,'Scoring Weights'!$A$15,'Scoring Weights'!$A$16)))</f>
        <v/>
      </c>
      <c r="M23" s="6" t="n">
        <v>8</v>
      </c>
      <c r="N23" s="6" t="n">
        <v>7</v>
      </c>
      <c r="O23" s="6" t="n">
        <v>10</v>
      </c>
      <c r="P23" s="6" t="n">
        <v>6</v>
      </c>
      <c r="Q23" s="7">
        <f>ROUND((N23*O23*M23)/P23,1)</f>
        <v/>
      </c>
      <c r="R23" s="5" t="inlineStr">
        <is>
          <t>Blueprint pack</t>
        </is>
      </c>
      <c r="S23" s="8" t="inlineStr">
        <is>
          <t>Architecture-grade premium content</t>
        </is>
      </c>
      <c r="T23" s="6" t="inlineStr"/>
      <c r="U23" s="6" t="inlineStr">
        <is>
          <t>Backlog</t>
        </is>
      </c>
      <c r="V23" s="6" t="inlineStr"/>
    </row>
    <row r="24" ht="34" customHeight="1">
      <c r="A24" s="5" t="n">
        <v>20</v>
      </c>
      <c r="B24" s="5" t="inlineStr">
        <is>
          <t>Power Automate</t>
        </is>
      </c>
      <c r="C24" s="5" t="inlineStr">
        <is>
          <t>Flow Optimization Engine</t>
        </is>
      </c>
      <c r="D24" s="5" t="inlineStr">
        <is>
          <t>Scale</t>
        </is>
      </c>
      <c r="E24" s="6" t="n">
        <v>9</v>
      </c>
      <c r="F24" s="6" t="n">
        <v>10</v>
      </c>
      <c r="G24" s="6" t="n">
        <v>9</v>
      </c>
      <c r="H24" s="6" t="n">
        <v>10</v>
      </c>
      <c r="I24" s="6" t="n">
        <v>3</v>
      </c>
      <c r="J24" s="7">
        <f>ROUND(SUMPRODUCT(E24:I24,'Scoring Weights'!$B$4:$B$8)*10,1)</f>
        <v/>
      </c>
      <c r="K24" s="7">
        <f>RANK.EQ(J24,$J$5:$J$64,0)</f>
        <v/>
      </c>
      <c r="L24" s="7">
        <f>IF(J24&gt;='Scoring Weights'!$B$13,'Scoring Weights'!$A$13,IF(J24&gt;='Scoring Weights'!$B$14,'Scoring Weights'!$A$14,IF(J24&gt;='Scoring Weights'!$B$15,'Scoring Weights'!$A$15,'Scoring Weights'!$A$16)))</f>
        <v/>
      </c>
      <c r="M24" s="6" t="n">
        <v>6</v>
      </c>
      <c r="N24" s="6" t="n">
        <v>9</v>
      </c>
      <c r="O24" s="6" t="n">
        <v>10</v>
      </c>
      <c r="P24" s="6" t="n">
        <v>10</v>
      </c>
      <c r="Q24" s="7">
        <f>ROUND((N24*O24*M24)/P24,1)</f>
        <v/>
      </c>
      <c r="R24" s="5" t="inlineStr">
        <is>
          <t>SaaS</t>
        </is>
      </c>
      <c r="S24" s="8" t="inlineStr">
        <is>
          <t>Potential SaaS with defensible analysis</t>
        </is>
      </c>
      <c r="T24" s="6" t="inlineStr"/>
      <c r="U24" s="6" t="inlineStr">
        <is>
          <t>Backlog</t>
        </is>
      </c>
      <c r="V24" s="6" t="inlineStr"/>
    </row>
    <row r="25" ht="34" customHeight="1">
      <c r="A25" s="5" t="n">
        <v>21</v>
      </c>
      <c r="B25" s="5" t="inlineStr">
        <is>
          <t>Power Automate</t>
        </is>
      </c>
      <c r="C25" s="5" t="inlineStr">
        <is>
          <t>Connector and Licensing Finder</t>
        </is>
      </c>
      <c r="D25" s="5" t="inlineStr">
        <is>
          <t>MVP</t>
        </is>
      </c>
      <c r="E25" s="6" t="n">
        <v>9</v>
      </c>
      <c r="F25" s="6" t="n">
        <v>8</v>
      </c>
      <c r="G25" s="6" t="n">
        <v>10</v>
      </c>
      <c r="H25" s="6" t="n">
        <v>8</v>
      </c>
      <c r="I25" s="6" t="n">
        <v>8</v>
      </c>
      <c r="J25" s="7">
        <f>ROUND(SUMPRODUCT(E25:I25,'Scoring Weights'!$B$4:$B$8)*10,1)</f>
        <v/>
      </c>
      <c r="K25" s="7">
        <f>RANK.EQ(J25,$J$5:$J$64,0)</f>
        <v/>
      </c>
      <c r="L25" s="7">
        <f>IF(J25&gt;='Scoring Weights'!$B$13,'Scoring Weights'!$A$13,IF(J25&gt;='Scoring Weights'!$B$14,'Scoring Weights'!$A$14,IF(J25&gt;='Scoring Weights'!$B$15,'Scoring Weights'!$A$15,'Scoring Weights'!$A$16)))</f>
        <v/>
      </c>
      <c r="M25" s="6" t="n">
        <v>8</v>
      </c>
      <c r="N25" s="6" t="n">
        <v>9</v>
      </c>
      <c r="O25" s="6" t="n">
        <v>8</v>
      </c>
      <c r="P25" s="6" t="n">
        <v>3</v>
      </c>
      <c r="Q25" s="7">
        <f>ROUND((N25*O25*M25)/P25,1)</f>
        <v/>
      </c>
      <c r="R25" s="5" t="inlineStr">
        <is>
          <t>Freemium + leads</t>
        </is>
      </c>
      <c r="S25" s="8" t="inlineStr">
        <is>
          <t>Reduces discovery and licensing friction</t>
        </is>
      </c>
      <c r="T25" s="6" t="inlineStr"/>
      <c r="U25" s="6" t="inlineStr">
        <is>
          <t>Backlog</t>
        </is>
      </c>
      <c r="V25" s="6" t="inlineStr"/>
    </row>
    <row r="26" ht="34" customHeight="1">
      <c r="A26" s="5" t="n">
        <v>22</v>
      </c>
      <c r="B26" s="5" t="inlineStr">
        <is>
          <t>Power BI</t>
        </is>
      </c>
      <c r="C26" s="5" t="inlineStr">
        <is>
          <t>DAX Pattern Library</t>
        </is>
      </c>
      <c r="D26" s="5" t="inlineStr">
        <is>
          <t>MVP</t>
        </is>
      </c>
      <c r="E26" s="6" t="n">
        <v>10</v>
      </c>
      <c r="F26" s="6" t="n">
        <v>9</v>
      </c>
      <c r="G26" s="6" t="n">
        <v>10</v>
      </c>
      <c r="H26" s="6" t="n">
        <v>8</v>
      </c>
      <c r="I26" s="6" t="n">
        <v>9</v>
      </c>
      <c r="J26" s="7">
        <f>ROUND(SUMPRODUCT(E26:I26,'Scoring Weights'!$B$4:$B$8)*10,1)</f>
        <v/>
      </c>
      <c r="K26" s="7">
        <f>RANK.EQ(J26,$J$5:$J$64,0)</f>
        <v/>
      </c>
      <c r="L26" s="7">
        <f>IF(J26&gt;='Scoring Weights'!$B$13,'Scoring Weights'!$A$13,IF(J26&gt;='Scoring Weights'!$B$14,'Scoring Weights'!$A$14,IF(J26&gt;='Scoring Weights'!$B$15,'Scoring Weights'!$A$15,'Scoring Weights'!$A$16)))</f>
        <v/>
      </c>
      <c r="M26" s="6" t="n">
        <v>9</v>
      </c>
      <c r="N26" s="6" t="n">
        <v>10</v>
      </c>
      <c r="O26" s="6" t="n">
        <v>9</v>
      </c>
      <c r="P26" s="6" t="n">
        <v>2</v>
      </c>
      <c r="Q26" s="7">
        <f>ROUND((N26*O26*M26)/P26,1)</f>
        <v/>
      </c>
      <c r="R26" s="5" t="inlineStr">
        <is>
          <t>Freemium</t>
        </is>
      </c>
      <c r="S26" s="8" t="inlineStr">
        <is>
          <t>Evergreen SEO and trust engine</t>
        </is>
      </c>
      <c r="T26" s="6" t="inlineStr"/>
      <c r="U26" s="6" t="inlineStr">
        <is>
          <t>Backlog</t>
        </is>
      </c>
      <c r="V26" s="6" t="inlineStr"/>
    </row>
    <row r="27" ht="34" customHeight="1">
      <c r="A27" s="5" t="n">
        <v>23</v>
      </c>
      <c r="B27" s="5" t="inlineStr">
        <is>
          <t>Power BI</t>
        </is>
      </c>
      <c r="C27" s="5" t="inlineStr">
        <is>
          <t>DAX Generator</t>
        </is>
      </c>
      <c r="D27" s="5" t="inlineStr">
        <is>
          <t>MVP</t>
        </is>
      </c>
      <c r="E27" s="6" t="n">
        <v>10</v>
      </c>
      <c r="F27" s="6" t="n">
        <v>10</v>
      </c>
      <c r="G27" s="6" t="n">
        <v>10</v>
      </c>
      <c r="H27" s="6" t="n">
        <v>8</v>
      </c>
      <c r="I27" s="6" t="n">
        <v>7</v>
      </c>
      <c r="J27" s="7">
        <f>ROUND(SUMPRODUCT(E27:I27,'Scoring Weights'!$B$4:$B$8)*10,1)</f>
        <v/>
      </c>
      <c r="K27" s="7">
        <f>RANK.EQ(J27,$J$5:$J$64,0)</f>
        <v/>
      </c>
      <c r="L27" s="7">
        <f>IF(J27&gt;='Scoring Weights'!$B$13,'Scoring Weights'!$A$13,IF(J27&gt;='Scoring Weights'!$B$14,'Scoring Weights'!$A$14,IF(J27&gt;='Scoring Weights'!$B$15,'Scoring Weights'!$A$15,'Scoring Weights'!$A$16)))</f>
        <v/>
      </c>
      <c r="M27" s="6" t="n">
        <v>8</v>
      </c>
      <c r="N27" s="6" t="n">
        <v>10</v>
      </c>
      <c r="O27" s="6" t="n">
        <v>10</v>
      </c>
      <c r="P27" s="6" t="n">
        <v>4</v>
      </c>
      <c r="Q27" s="7">
        <f>ROUND((N27*O27*M27)/P27,1)</f>
        <v/>
      </c>
      <c r="R27" s="5" t="inlineStr">
        <is>
          <t>Pro subscription</t>
        </is>
      </c>
      <c r="S27" s="8" t="inlineStr">
        <is>
          <t>Large audience and subscription utility</t>
        </is>
      </c>
      <c r="T27" s="6" t="inlineStr"/>
      <c r="U27" s="6" t="inlineStr">
        <is>
          <t>Backlog</t>
        </is>
      </c>
      <c r="V27" s="6" t="inlineStr"/>
    </row>
    <row r="28" ht="34" customHeight="1">
      <c r="A28" s="5" t="n">
        <v>24</v>
      </c>
      <c r="B28" s="5" t="inlineStr">
        <is>
          <t>Power BI</t>
        </is>
      </c>
      <c r="C28" s="5" t="inlineStr">
        <is>
          <t>Executive KPI Card Library</t>
        </is>
      </c>
      <c r="D28" s="5" t="inlineStr">
        <is>
          <t>MVP</t>
        </is>
      </c>
      <c r="E28" s="6" t="n">
        <v>10</v>
      </c>
      <c r="F28" s="6" t="n">
        <v>9</v>
      </c>
      <c r="G28" s="6" t="n">
        <v>9</v>
      </c>
      <c r="H28" s="6" t="n">
        <v>9</v>
      </c>
      <c r="I28" s="6" t="n">
        <v>8</v>
      </c>
      <c r="J28" s="7">
        <f>ROUND(SUMPRODUCT(E28:I28,'Scoring Weights'!$B$4:$B$8)*10,1)</f>
        <v/>
      </c>
      <c r="K28" s="7">
        <f>RANK.EQ(J28,$J$5:$J$64,0)</f>
        <v/>
      </c>
      <c r="L28" s="7">
        <f>IF(J28&gt;='Scoring Weights'!$B$13,'Scoring Weights'!$A$13,IF(J28&gt;='Scoring Weights'!$B$14,'Scoring Weights'!$A$14,IF(J28&gt;='Scoring Weights'!$B$15,'Scoring Weights'!$A$15,'Scoring Weights'!$A$16)))</f>
        <v/>
      </c>
      <c r="M28" s="6" t="n">
        <v>9</v>
      </c>
      <c r="N28" s="6" t="n">
        <v>9</v>
      </c>
      <c r="O28" s="6" t="n">
        <v>9</v>
      </c>
      <c r="P28" s="6" t="n">
        <v>3</v>
      </c>
      <c r="Q28" s="7">
        <f>ROUND((N28*O28*M28)/P28,1)</f>
        <v/>
      </c>
      <c r="R28" s="5" t="inlineStr">
        <is>
          <t>Premium pack</t>
        </is>
      </c>
      <c r="S28" s="8" t="inlineStr">
        <is>
          <t>Visually marketable and bundle-friendly</t>
        </is>
      </c>
      <c r="T28" s="6" t="inlineStr"/>
      <c r="U28" s="6" t="inlineStr">
        <is>
          <t>Backlog</t>
        </is>
      </c>
      <c r="V28" s="6" t="inlineStr"/>
    </row>
    <row r="29" ht="34" customHeight="1">
      <c r="A29" s="5" t="n">
        <v>25</v>
      </c>
      <c r="B29" s="5" t="inlineStr">
        <is>
          <t>Power BI</t>
        </is>
      </c>
      <c r="C29" s="5" t="inlineStr">
        <is>
          <t>PMO Dashboard Pack</t>
        </is>
      </c>
      <c r="D29" s="5" t="inlineStr">
        <is>
          <t>MVP</t>
        </is>
      </c>
      <c r="E29" s="6" t="n">
        <v>9</v>
      </c>
      <c r="F29" s="6" t="n">
        <v>10</v>
      </c>
      <c r="G29" s="6" t="n">
        <v>8</v>
      </c>
      <c r="H29" s="6" t="n">
        <v>10</v>
      </c>
      <c r="I29" s="6" t="n">
        <v>7</v>
      </c>
      <c r="J29" s="7">
        <f>ROUND(SUMPRODUCT(E29:I29,'Scoring Weights'!$B$4:$B$8)*10,1)</f>
        <v/>
      </c>
      <c r="K29" s="7">
        <f>RANK.EQ(J29,$J$5:$J$64,0)</f>
        <v/>
      </c>
      <c r="L29" s="7">
        <f>IF(J29&gt;='Scoring Weights'!$B$13,'Scoring Weights'!$A$13,IF(J29&gt;='Scoring Weights'!$B$14,'Scoring Weights'!$A$14,IF(J29&gt;='Scoring Weights'!$B$15,'Scoring Weights'!$A$15,'Scoring Weights'!$A$16)))</f>
        <v/>
      </c>
      <c r="M29" s="6" t="n">
        <v>9</v>
      </c>
      <c r="N29" s="6" t="n">
        <v>7</v>
      </c>
      <c r="O29" s="6" t="n">
        <v>10</v>
      </c>
      <c r="P29" s="6" t="n">
        <v>4</v>
      </c>
      <c r="Q29" s="7">
        <f>ROUND((N29*O29*M29)/P29,1)</f>
        <v/>
      </c>
      <c r="R29" s="5" t="inlineStr">
        <is>
          <t>Premium pack</t>
        </is>
      </c>
      <c r="S29" s="8" t="inlineStr">
        <is>
          <t>Strong founder-market fit and vertical value</t>
        </is>
      </c>
      <c r="T29" s="6" t="inlineStr"/>
      <c r="U29" s="6" t="inlineStr">
        <is>
          <t>Backlog</t>
        </is>
      </c>
      <c r="V29" s="6" t="inlineStr"/>
    </row>
    <row r="30" ht="34" customHeight="1">
      <c r="A30" s="5" t="n">
        <v>26</v>
      </c>
      <c r="B30" s="5" t="inlineStr">
        <is>
          <t>Power BI</t>
        </is>
      </c>
      <c r="C30" s="5" t="inlineStr">
        <is>
          <t>Portfolio Management Dashboard Pack</t>
        </is>
      </c>
      <c r="D30" s="5" t="inlineStr">
        <is>
          <t>Growth</t>
        </is>
      </c>
      <c r="E30" s="6" t="n">
        <v>9</v>
      </c>
      <c r="F30" s="6" t="n">
        <v>10</v>
      </c>
      <c r="G30" s="6" t="n">
        <v>8</v>
      </c>
      <c r="H30" s="6" t="n">
        <v>10</v>
      </c>
      <c r="I30" s="6" t="n">
        <v>6</v>
      </c>
      <c r="J30" s="7">
        <f>ROUND(SUMPRODUCT(E30:I30,'Scoring Weights'!$B$4:$B$8)*10,1)</f>
        <v/>
      </c>
      <c r="K30" s="7">
        <f>RANK.EQ(J30,$J$5:$J$64,0)</f>
        <v/>
      </c>
      <c r="L30" s="7">
        <f>IF(J30&gt;='Scoring Weights'!$B$13,'Scoring Weights'!$A$13,IF(J30&gt;='Scoring Weights'!$B$14,'Scoring Weights'!$A$14,IF(J30&gt;='Scoring Weights'!$B$15,'Scoring Weights'!$A$15,'Scoring Weights'!$A$16)))</f>
        <v/>
      </c>
      <c r="M30" s="6" t="n">
        <v>9</v>
      </c>
      <c r="N30" s="6" t="n">
        <v>7</v>
      </c>
      <c r="O30" s="6" t="n">
        <v>10</v>
      </c>
      <c r="P30" s="6" t="n">
        <v>6</v>
      </c>
      <c r="Q30" s="7">
        <f>ROUND((N30*O30*M30)/P30,1)</f>
        <v/>
      </c>
      <c r="R30" s="5" t="inlineStr">
        <is>
          <t>Enterprise pack</t>
        </is>
      </c>
      <c r="S30" s="8" t="inlineStr">
        <is>
          <t>Enterprise reporting bundle</t>
        </is>
      </c>
      <c r="T30" s="6" t="inlineStr"/>
      <c r="U30" s="6" t="inlineStr">
        <is>
          <t>Backlog</t>
        </is>
      </c>
      <c r="V30" s="6" t="inlineStr"/>
    </row>
    <row r="31" ht="34" customHeight="1">
      <c r="A31" s="5" t="n">
        <v>27</v>
      </c>
      <c r="B31" s="5" t="inlineStr">
        <is>
          <t>Power BI</t>
        </is>
      </c>
      <c r="C31" s="5" t="inlineStr">
        <is>
          <t>Government Reporting Pack</t>
        </is>
      </c>
      <c r="D31" s="5" t="inlineStr">
        <is>
          <t>Growth</t>
        </is>
      </c>
      <c r="E31" s="6" t="n">
        <v>8</v>
      </c>
      <c r="F31" s="6" t="n">
        <v>10</v>
      </c>
      <c r="G31" s="6" t="n">
        <v>7</v>
      </c>
      <c r="H31" s="6" t="n">
        <v>10</v>
      </c>
      <c r="I31" s="6" t="n">
        <v>6</v>
      </c>
      <c r="J31" s="7">
        <f>ROUND(SUMPRODUCT(E31:I31,'Scoring Weights'!$B$4:$B$8)*10,1)</f>
        <v/>
      </c>
      <c r="K31" s="7">
        <f>RANK.EQ(J31,$J$5:$J$64,0)</f>
        <v/>
      </c>
      <c r="L31" s="7">
        <f>IF(J31&gt;='Scoring Weights'!$B$13,'Scoring Weights'!$A$13,IF(J31&gt;='Scoring Weights'!$B$14,'Scoring Weights'!$A$14,IF(J31&gt;='Scoring Weights'!$B$15,'Scoring Weights'!$A$15,'Scoring Weights'!$A$16)))</f>
        <v/>
      </c>
      <c r="M31" s="6" t="n">
        <v>8</v>
      </c>
      <c r="N31" s="6" t="n">
        <v>6</v>
      </c>
      <c r="O31" s="6" t="n">
        <v>10</v>
      </c>
      <c r="P31" s="6" t="n">
        <v>6</v>
      </c>
      <c r="Q31" s="7">
        <f>ROUND((N31*O31*M31)/P31,1)</f>
        <v/>
      </c>
      <c r="R31" s="5" t="inlineStr">
        <is>
          <t>Enterprise pack</t>
        </is>
      </c>
      <c r="S31" s="8" t="inlineStr">
        <is>
          <t>Underserved, accessibility-led niche</t>
        </is>
      </c>
      <c r="T31" s="6" t="inlineStr"/>
      <c r="U31" s="6" t="inlineStr">
        <is>
          <t>Backlog</t>
        </is>
      </c>
      <c r="V31" s="6" t="inlineStr"/>
    </row>
    <row r="32" ht="34" customHeight="1">
      <c r="A32" s="5" t="n">
        <v>28</v>
      </c>
      <c r="B32" s="5" t="inlineStr">
        <is>
          <t>Power BI</t>
        </is>
      </c>
      <c r="C32" s="5" t="inlineStr">
        <is>
          <t>SVG Visual Library</t>
        </is>
      </c>
      <c r="D32" s="5" t="inlineStr">
        <is>
          <t>MVP</t>
        </is>
      </c>
      <c r="E32" s="6" t="n">
        <v>9</v>
      </c>
      <c r="F32" s="6" t="n">
        <v>9</v>
      </c>
      <c r="G32" s="6" t="n">
        <v>9</v>
      </c>
      <c r="H32" s="6" t="n">
        <v>9</v>
      </c>
      <c r="I32" s="6" t="n">
        <v>9</v>
      </c>
      <c r="J32" s="7">
        <f>ROUND(SUMPRODUCT(E32:I32,'Scoring Weights'!$B$4:$B$8)*10,1)</f>
        <v/>
      </c>
      <c r="K32" s="7">
        <f>RANK.EQ(J32,$J$5:$J$64,0)</f>
        <v/>
      </c>
      <c r="L32" s="7">
        <f>IF(J32&gt;='Scoring Weights'!$B$13,'Scoring Weights'!$A$13,IF(J32&gt;='Scoring Weights'!$B$14,'Scoring Weights'!$A$14,IF(J32&gt;='Scoring Weights'!$B$15,'Scoring Weights'!$A$15,'Scoring Weights'!$A$16)))</f>
        <v/>
      </c>
      <c r="M32" s="6" t="n">
        <v>9</v>
      </c>
      <c r="N32" s="6" t="n">
        <v>9</v>
      </c>
      <c r="O32" s="6" t="n">
        <v>8</v>
      </c>
      <c r="P32" s="6" t="n">
        <v>2</v>
      </c>
      <c r="Q32" s="7">
        <f>ROUND((N32*O32*M32)/P32,1)</f>
        <v/>
      </c>
      <c r="R32" s="5" t="inlineStr">
        <is>
          <t>Freemium + pack</t>
        </is>
      </c>
      <c r="S32" s="8" t="inlineStr">
        <is>
          <t>Low effort, high visual and SEO appeal</t>
        </is>
      </c>
      <c r="T32" s="6" t="inlineStr"/>
      <c r="U32" s="6" t="inlineStr">
        <is>
          <t>Backlog</t>
        </is>
      </c>
      <c r="V32" s="6" t="inlineStr"/>
    </row>
    <row r="33" ht="34" customHeight="1">
      <c r="A33" s="5" t="n">
        <v>29</v>
      </c>
      <c r="B33" s="5" t="inlineStr">
        <is>
          <t>Power BI</t>
        </is>
      </c>
      <c r="C33" s="5" t="inlineStr">
        <is>
          <t>Theme Generator</t>
        </is>
      </c>
      <c r="D33" s="5" t="inlineStr">
        <is>
          <t>MVP</t>
        </is>
      </c>
      <c r="E33" s="6" t="n">
        <v>10</v>
      </c>
      <c r="F33" s="6" t="n">
        <v>8</v>
      </c>
      <c r="G33" s="6" t="n">
        <v>10</v>
      </c>
      <c r="H33" s="6" t="n">
        <v>8</v>
      </c>
      <c r="I33" s="6" t="n">
        <v>8</v>
      </c>
      <c r="J33" s="7">
        <f>ROUND(SUMPRODUCT(E33:I33,'Scoring Weights'!$B$4:$B$8)*10,1)</f>
        <v/>
      </c>
      <c r="K33" s="7">
        <f>RANK.EQ(J33,$J$5:$J$64,0)</f>
        <v/>
      </c>
      <c r="L33" s="7">
        <f>IF(J33&gt;='Scoring Weights'!$B$13,'Scoring Weights'!$A$13,IF(J33&gt;='Scoring Weights'!$B$14,'Scoring Weights'!$A$14,IF(J33&gt;='Scoring Weights'!$B$15,'Scoring Weights'!$A$15,'Scoring Weights'!$A$16)))</f>
        <v/>
      </c>
      <c r="M33" s="6" t="n">
        <v>9</v>
      </c>
      <c r="N33" s="6" t="n">
        <v>10</v>
      </c>
      <c r="O33" s="6" t="n">
        <v>8</v>
      </c>
      <c r="P33" s="6" t="n">
        <v>3</v>
      </c>
      <c r="Q33" s="7">
        <f>ROUND((N33*O33*M33)/P33,1)</f>
        <v/>
      </c>
      <c r="R33" s="5" t="inlineStr">
        <is>
          <t>Freemium</t>
        </is>
      </c>
      <c r="S33" s="8" t="inlineStr">
        <is>
          <t>Lead magnet with repeat usage</t>
        </is>
      </c>
      <c r="T33" s="6" t="inlineStr"/>
      <c r="U33" s="6" t="inlineStr">
        <is>
          <t>Backlog</t>
        </is>
      </c>
      <c r="V33" s="6" t="inlineStr"/>
    </row>
    <row r="34" ht="34" customHeight="1">
      <c r="A34" s="5" t="n">
        <v>30</v>
      </c>
      <c r="B34" s="5" t="inlineStr">
        <is>
          <t>Power BI</t>
        </is>
      </c>
      <c r="C34" s="5" t="inlineStr">
        <is>
          <t>Model Health Checker</t>
        </is>
      </c>
      <c r="D34" s="5" t="inlineStr">
        <is>
          <t>Scale</t>
        </is>
      </c>
      <c r="E34" s="6" t="n">
        <v>9</v>
      </c>
      <c r="F34" s="6" t="n">
        <v>10</v>
      </c>
      <c r="G34" s="6" t="n">
        <v>9</v>
      </c>
      <c r="H34" s="6" t="n">
        <v>10</v>
      </c>
      <c r="I34" s="6" t="n">
        <v>4</v>
      </c>
      <c r="J34" s="7">
        <f>ROUND(SUMPRODUCT(E34:I34,'Scoring Weights'!$B$4:$B$8)*10,1)</f>
        <v/>
      </c>
      <c r="K34" s="7">
        <f>RANK.EQ(J34,$J$5:$J$64,0)</f>
        <v/>
      </c>
      <c r="L34" s="7">
        <f>IF(J34&gt;='Scoring Weights'!$B$13,'Scoring Weights'!$A$13,IF(J34&gt;='Scoring Weights'!$B$14,'Scoring Weights'!$A$14,IF(J34&gt;='Scoring Weights'!$B$15,'Scoring Weights'!$A$15,'Scoring Weights'!$A$16)))</f>
        <v/>
      </c>
      <c r="M34" s="6" t="n">
        <v>7</v>
      </c>
      <c r="N34" s="6" t="n">
        <v>8</v>
      </c>
      <c r="O34" s="6" t="n">
        <v>10</v>
      </c>
      <c r="P34" s="6" t="n">
        <v>9</v>
      </c>
      <c r="Q34" s="7">
        <f>ROUND((N34*O34*M34)/P34,1)</f>
        <v/>
      </c>
      <c r="R34" s="5" t="inlineStr">
        <is>
          <t>SaaS</t>
        </is>
      </c>
      <c r="S34" s="8" t="inlineStr">
        <is>
          <t>High-value SaaS diagnostic</t>
        </is>
      </c>
      <c r="T34" s="6" t="inlineStr"/>
      <c r="U34" s="6" t="inlineStr">
        <is>
          <t>Backlog</t>
        </is>
      </c>
      <c r="V34" s="6" t="inlineStr"/>
    </row>
    <row r="35" ht="34" customHeight="1">
      <c r="A35" s="5" t="n">
        <v>31</v>
      </c>
      <c r="B35" s="5" t="inlineStr">
        <is>
          <t>Power BI</t>
        </is>
      </c>
      <c r="C35" s="5" t="inlineStr">
        <is>
          <t>Measure Documentation Generator</t>
        </is>
      </c>
      <c r="D35" s="5" t="inlineStr">
        <is>
          <t>Growth</t>
        </is>
      </c>
      <c r="E35" s="6" t="n">
        <v>9</v>
      </c>
      <c r="F35" s="6" t="n">
        <v>9</v>
      </c>
      <c r="G35" s="6" t="n">
        <v>8</v>
      </c>
      <c r="H35" s="6" t="n">
        <v>9</v>
      </c>
      <c r="I35" s="6" t="n">
        <v>6</v>
      </c>
      <c r="J35" s="7">
        <f>ROUND(SUMPRODUCT(E35:I35,'Scoring Weights'!$B$4:$B$8)*10,1)</f>
        <v/>
      </c>
      <c r="K35" s="7">
        <f>RANK.EQ(J35,$J$5:$J$64,0)</f>
        <v/>
      </c>
      <c r="L35" s="7">
        <f>IF(J35&gt;='Scoring Weights'!$B$13,'Scoring Weights'!$A$13,IF(J35&gt;='Scoring Weights'!$B$14,'Scoring Weights'!$A$14,IF(J35&gt;='Scoring Weights'!$B$15,'Scoring Weights'!$A$15,'Scoring Weights'!$A$16)))</f>
        <v/>
      </c>
      <c r="M35" s="6" t="n">
        <v>8</v>
      </c>
      <c r="N35" s="6" t="n">
        <v>8</v>
      </c>
      <c r="O35" s="6" t="n">
        <v>9</v>
      </c>
      <c r="P35" s="6" t="n">
        <v>6</v>
      </c>
      <c r="Q35" s="7">
        <f>ROUND((N35*O35*M35)/P35,1)</f>
        <v/>
      </c>
      <c r="R35" s="5" t="inlineStr">
        <is>
          <t>Pro subscription</t>
        </is>
      </c>
      <c r="S35" s="8" t="inlineStr">
        <is>
          <t>Saves governance and handover effort</t>
        </is>
      </c>
      <c r="T35" s="6" t="inlineStr"/>
      <c r="U35" s="6" t="inlineStr">
        <is>
          <t>Backlog</t>
        </is>
      </c>
      <c r="V35" s="6" t="inlineStr"/>
    </row>
    <row r="36" ht="34" customHeight="1">
      <c r="A36" s="5" t="n">
        <v>32</v>
      </c>
      <c r="B36" s="5" t="inlineStr">
        <is>
          <t>Architecture</t>
        </is>
      </c>
      <c r="C36" s="5" t="inlineStr">
        <is>
          <t>Reference Architecture Library</t>
        </is>
      </c>
      <c r="D36" s="5" t="inlineStr">
        <is>
          <t>MVP</t>
        </is>
      </c>
      <c r="E36" s="6" t="n">
        <v>9</v>
      </c>
      <c r="F36" s="6" t="n">
        <v>10</v>
      </c>
      <c r="G36" s="6" t="n">
        <v>9</v>
      </c>
      <c r="H36" s="6" t="n">
        <v>10</v>
      </c>
      <c r="I36" s="6" t="n">
        <v>8</v>
      </c>
      <c r="J36" s="7">
        <f>ROUND(SUMPRODUCT(E36:I36,'Scoring Weights'!$B$4:$B$8)*10,1)</f>
        <v/>
      </c>
      <c r="K36" s="7">
        <f>RANK.EQ(J36,$J$5:$J$64,0)</f>
        <v/>
      </c>
      <c r="L36" s="7">
        <f>IF(J36&gt;='Scoring Weights'!$B$13,'Scoring Weights'!$A$13,IF(J36&gt;='Scoring Weights'!$B$14,'Scoring Weights'!$A$14,IF(J36&gt;='Scoring Weights'!$B$15,'Scoring Weights'!$A$15,'Scoring Weights'!$A$16)))</f>
        <v/>
      </c>
      <c r="M36" s="6" t="n">
        <v>9</v>
      </c>
      <c r="N36" s="6" t="n">
        <v>8</v>
      </c>
      <c r="O36" s="6" t="n">
        <v>10</v>
      </c>
      <c r="P36" s="6" t="n">
        <v>3</v>
      </c>
      <c r="Q36" s="7">
        <f>ROUND((N36*O36*M36)/P36,1)</f>
        <v/>
      </c>
      <c r="R36" s="5" t="inlineStr">
        <is>
          <t>Freemium + premium blueprints</t>
        </is>
      </c>
      <c r="S36" s="8" t="inlineStr">
        <is>
          <t>Primary enterprise differentiation</t>
        </is>
      </c>
      <c r="T36" s="6" t="inlineStr"/>
      <c r="U36" s="6" t="inlineStr">
        <is>
          <t>Backlog</t>
        </is>
      </c>
      <c r="V36" s="6" t="inlineStr"/>
    </row>
    <row r="37" ht="34" customHeight="1">
      <c r="A37" s="5" t="n">
        <v>33</v>
      </c>
      <c r="B37" s="5" t="inlineStr">
        <is>
          <t>Architecture</t>
        </is>
      </c>
      <c r="C37" s="5" t="inlineStr">
        <is>
          <t>Solution Blueprint Generator</t>
        </is>
      </c>
      <c r="D37" s="5" t="inlineStr">
        <is>
          <t>Growth</t>
        </is>
      </c>
      <c r="E37" s="6" t="n">
        <v>9</v>
      </c>
      <c r="F37" s="6" t="n">
        <v>10</v>
      </c>
      <c r="G37" s="6" t="n">
        <v>8</v>
      </c>
      <c r="H37" s="6" t="n">
        <v>10</v>
      </c>
      <c r="I37" s="6" t="n">
        <v>5</v>
      </c>
      <c r="J37" s="7">
        <f>ROUND(SUMPRODUCT(E37:I37,'Scoring Weights'!$B$4:$B$8)*10,1)</f>
        <v/>
      </c>
      <c r="K37" s="7">
        <f>RANK.EQ(J37,$J$5:$J$64,0)</f>
        <v/>
      </c>
      <c r="L37" s="7">
        <f>IF(J37&gt;='Scoring Weights'!$B$13,'Scoring Weights'!$A$13,IF(J37&gt;='Scoring Weights'!$B$14,'Scoring Weights'!$A$14,IF(J37&gt;='Scoring Weights'!$B$15,'Scoring Weights'!$A$15,'Scoring Weights'!$A$16)))</f>
        <v/>
      </c>
      <c r="M37" s="6" t="n">
        <v>7</v>
      </c>
      <c r="N37" s="6" t="n">
        <v>8</v>
      </c>
      <c r="O37" s="6" t="n">
        <v>10</v>
      </c>
      <c r="P37" s="6" t="n">
        <v>8</v>
      </c>
      <c r="Q37" s="7">
        <f>ROUND((N37*O37*M37)/P37,1)</f>
        <v/>
      </c>
      <c r="R37" s="5" t="inlineStr">
        <is>
          <t>Pro subscription</t>
        </is>
      </c>
      <c r="S37" s="8" t="inlineStr">
        <is>
          <t>Transforms guidance into a product</t>
        </is>
      </c>
      <c r="T37" s="6" t="inlineStr"/>
      <c r="U37" s="6" t="inlineStr">
        <is>
          <t>Backlog</t>
        </is>
      </c>
      <c r="V37" s="6" t="inlineStr"/>
    </row>
    <row r="38" ht="34" customHeight="1">
      <c r="A38" s="5" t="n">
        <v>34</v>
      </c>
      <c r="B38" s="5" t="inlineStr">
        <is>
          <t>Architecture</t>
        </is>
      </c>
      <c r="C38" s="5" t="inlineStr">
        <is>
          <t>ALM Strategy Builder</t>
        </is>
      </c>
      <c r="D38" s="5" t="inlineStr">
        <is>
          <t>Growth</t>
        </is>
      </c>
      <c r="E38" s="6" t="n">
        <v>9</v>
      </c>
      <c r="F38" s="6" t="n">
        <v>10</v>
      </c>
      <c r="G38" s="6" t="n">
        <v>8</v>
      </c>
      <c r="H38" s="6" t="n">
        <v>10</v>
      </c>
      <c r="I38" s="6" t="n">
        <v>6</v>
      </c>
      <c r="J38" s="7">
        <f>ROUND(SUMPRODUCT(E38:I38,'Scoring Weights'!$B$4:$B$8)*10,1)</f>
        <v/>
      </c>
      <c r="K38" s="7">
        <f>RANK.EQ(J38,$J$5:$J$64,0)</f>
        <v/>
      </c>
      <c r="L38" s="7">
        <f>IF(J38&gt;='Scoring Weights'!$B$13,'Scoring Weights'!$A$13,IF(J38&gt;='Scoring Weights'!$B$14,'Scoring Weights'!$A$14,IF(J38&gt;='Scoring Weights'!$B$15,'Scoring Weights'!$A$15,'Scoring Weights'!$A$16)))</f>
        <v/>
      </c>
      <c r="M38" s="6" t="n">
        <v>8</v>
      </c>
      <c r="N38" s="6" t="n">
        <v>7</v>
      </c>
      <c r="O38" s="6" t="n">
        <v>10</v>
      </c>
      <c r="P38" s="6" t="n">
        <v>6</v>
      </c>
      <c r="Q38" s="7">
        <f>ROUND((N38*O38*M38)/P38,1)</f>
        <v/>
      </c>
      <c r="R38" s="5" t="inlineStr">
        <is>
          <t>Enterprise license</t>
        </is>
      </c>
      <c r="S38" s="8" t="inlineStr">
        <is>
          <t>Enterprise delivery accelerator</t>
        </is>
      </c>
      <c r="T38" s="6" t="inlineStr"/>
      <c r="U38" s="6" t="inlineStr">
        <is>
          <t>Backlog</t>
        </is>
      </c>
      <c r="V38" s="6" t="inlineStr"/>
    </row>
    <row r="39" ht="34" customHeight="1">
      <c r="A39" s="5" t="n">
        <v>35</v>
      </c>
      <c r="B39" s="5" t="inlineStr">
        <is>
          <t>Architecture</t>
        </is>
      </c>
      <c r="C39" s="5" t="inlineStr">
        <is>
          <t>Environment Strategy Builder</t>
        </is>
      </c>
      <c r="D39" s="5" t="inlineStr">
        <is>
          <t>Growth</t>
        </is>
      </c>
      <c r="E39" s="6" t="n">
        <v>9</v>
      </c>
      <c r="F39" s="6" t="n">
        <v>10</v>
      </c>
      <c r="G39" s="6" t="n">
        <v>8</v>
      </c>
      <c r="H39" s="6" t="n">
        <v>10</v>
      </c>
      <c r="I39" s="6" t="n">
        <v>6</v>
      </c>
      <c r="J39" s="7">
        <f>ROUND(SUMPRODUCT(E39:I39,'Scoring Weights'!$B$4:$B$8)*10,1)</f>
        <v/>
      </c>
      <c r="K39" s="7">
        <f>RANK.EQ(J39,$J$5:$J$64,0)</f>
        <v/>
      </c>
      <c r="L39" s="7">
        <f>IF(J39&gt;='Scoring Weights'!$B$13,'Scoring Weights'!$A$13,IF(J39&gt;='Scoring Weights'!$B$14,'Scoring Weights'!$A$14,IF(J39&gt;='Scoring Weights'!$B$15,'Scoring Weights'!$A$15,'Scoring Weights'!$A$16)))</f>
        <v/>
      </c>
      <c r="M39" s="6" t="n">
        <v>8</v>
      </c>
      <c r="N39" s="6" t="n">
        <v>7</v>
      </c>
      <c r="O39" s="6" t="n">
        <v>10</v>
      </c>
      <c r="P39" s="6" t="n">
        <v>6</v>
      </c>
      <c r="Q39" s="7">
        <f>ROUND((N39*O39*M39)/P39,1)</f>
        <v/>
      </c>
      <c r="R39" s="5" t="inlineStr">
        <is>
          <t>Enterprise license</t>
        </is>
      </c>
      <c r="S39" s="8" t="inlineStr">
        <is>
          <t>Governance-led acquisition</t>
        </is>
      </c>
      <c r="T39" s="6" t="inlineStr"/>
      <c r="U39" s="6" t="inlineStr">
        <is>
          <t>Backlog</t>
        </is>
      </c>
      <c r="V39" s="6" t="inlineStr"/>
    </row>
    <row r="40" ht="34" customHeight="1">
      <c r="A40" s="5" t="n">
        <v>36</v>
      </c>
      <c r="B40" s="5" t="inlineStr">
        <is>
          <t>Architecture</t>
        </is>
      </c>
      <c r="C40" s="5" t="inlineStr">
        <is>
          <t>Disaster Recovery Pattern Library</t>
        </is>
      </c>
      <c r="D40" s="5" t="inlineStr">
        <is>
          <t>Growth</t>
        </is>
      </c>
      <c r="E40" s="6" t="n">
        <v>8</v>
      </c>
      <c r="F40" s="6" t="n">
        <v>10</v>
      </c>
      <c r="G40" s="6" t="n">
        <v>7</v>
      </c>
      <c r="H40" s="6" t="n">
        <v>10</v>
      </c>
      <c r="I40" s="6" t="n">
        <v>7</v>
      </c>
      <c r="J40" s="7">
        <f>ROUND(SUMPRODUCT(E40:I40,'Scoring Weights'!$B$4:$B$8)*10,1)</f>
        <v/>
      </c>
      <c r="K40" s="7">
        <f>RANK.EQ(J40,$J$5:$J$64,0)</f>
        <v/>
      </c>
      <c r="L40" s="7">
        <f>IF(J40&gt;='Scoring Weights'!$B$13,'Scoring Weights'!$A$13,IF(J40&gt;='Scoring Weights'!$B$14,'Scoring Weights'!$A$14,IF(J40&gt;='Scoring Weights'!$B$15,'Scoring Weights'!$A$15,'Scoring Weights'!$A$16)))</f>
        <v/>
      </c>
      <c r="M40" s="6" t="n">
        <v>8</v>
      </c>
      <c r="N40" s="6" t="n">
        <v>6</v>
      </c>
      <c r="O40" s="6" t="n">
        <v>10</v>
      </c>
      <c r="P40" s="6" t="n">
        <v>5</v>
      </c>
      <c r="Q40" s="7">
        <f>ROUND((N40*O40*M40)/P40,1)</f>
        <v/>
      </c>
      <c r="R40" s="5" t="inlineStr">
        <is>
          <t>Blueprint pack</t>
        </is>
      </c>
      <c r="S40" s="8" t="inlineStr">
        <is>
          <t>High-value mission-critical guidance</t>
        </is>
      </c>
      <c r="T40" s="6" t="inlineStr"/>
      <c r="U40" s="6" t="inlineStr">
        <is>
          <t>Backlog</t>
        </is>
      </c>
      <c r="V40" s="6" t="inlineStr"/>
    </row>
    <row r="41" ht="34" customHeight="1">
      <c r="A41" s="5" t="n">
        <v>37</v>
      </c>
      <c r="B41" s="5" t="inlineStr">
        <is>
          <t>Architecture</t>
        </is>
      </c>
      <c r="C41" s="5" t="inlineStr">
        <is>
          <t>Azure Integration Blueprint Pack</t>
        </is>
      </c>
      <c r="D41" s="5" t="inlineStr">
        <is>
          <t>Growth</t>
        </is>
      </c>
      <c r="E41" s="6" t="n">
        <v>8</v>
      </c>
      <c r="F41" s="6" t="n">
        <v>10</v>
      </c>
      <c r="G41" s="6" t="n">
        <v>8</v>
      </c>
      <c r="H41" s="6" t="n">
        <v>10</v>
      </c>
      <c r="I41" s="6" t="n">
        <v>6</v>
      </c>
      <c r="J41" s="7">
        <f>ROUND(SUMPRODUCT(E41:I41,'Scoring Weights'!$B$4:$B$8)*10,1)</f>
        <v/>
      </c>
      <c r="K41" s="7">
        <f>RANK.EQ(J41,$J$5:$J$64,0)</f>
        <v/>
      </c>
      <c r="L41" s="7">
        <f>IF(J41&gt;='Scoring Weights'!$B$13,'Scoring Weights'!$A$13,IF(J41&gt;='Scoring Weights'!$B$14,'Scoring Weights'!$A$14,IF(J41&gt;='Scoring Weights'!$B$15,'Scoring Weights'!$A$15,'Scoring Weights'!$A$16)))</f>
        <v/>
      </c>
      <c r="M41" s="6" t="n">
        <v>8</v>
      </c>
      <c r="N41" s="6" t="n">
        <v>6</v>
      </c>
      <c r="O41" s="6" t="n">
        <v>10</v>
      </c>
      <c r="P41" s="6" t="n">
        <v>6</v>
      </c>
      <c r="Q41" s="7">
        <f>ROUND((N41*O41*M41)/P41,1)</f>
        <v/>
      </c>
      <c r="R41" s="5" t="inlineStr">
        <is>
          <t>Premium pack</t>
        </is>
      </c>
      <c r="S41" s="8" t="inlineStr">
        <is>
          <t>Architect and consultant appeal</t>
        </is>
      </c>
      <c r="T41" s="6" t="inlineStr"/>
      <c r="U41" s="6" t="inlineStr">
        <is>
          <t>Backlog</t>
        </is>
      </c>
      <c r="V41" s="6" t="inlineStr"/>
    </row>
    <row r="42" ht="34" customHeight="1">
      <c r="A42" s="5" t="n">
        <v>38</v>
      </c>
      <c r="B42" s="5" t="inlineStr">
        <is>
          <t>Architecture</t>
        </is>
      </c>
      <c r="C42" s="5" t="inlineStr">
        <is>
          <t>Fabric Integration Blueprint Pack</t>
        </is>
      </c>
      <c r="D42" s="5" t="inlineStr">
        <is>
          <t>Growth</t>
        </is>
      </c>
      <c r="E42" s="6" t="n">
        <v>9</v>
      </c>
      <c r="F42" s="6" t="n">
        <v>10</v>
      </c>
      <c r="G42" s="6" t="n">
        <v>9</v>
      </c>
      <c r="H42" s="6" t="n">
        <v>9</v>
      </c>
      <c r="I42" s="6" t="n">
        <v>6</v>
      </c>
      <c r="J42" s="7">
        <f>ROUND(SUMPRODUCT(E42:I42,'Scoring Weights'!$B$4:$B$8)*10,1)</f>
        <v/>
      </c>
      <c r="K42" s="7">
        <f>RANK.EQ(J42,$J$5:$J$64,0)</f>
        <v/>
      </c>
      <c r="L42" s="7">
        <f>IF(J42&gt;='Scoring Weights'!$B$13,'Scoring Weights'!$A$13,IF(J42&gt;='Scoring Weights'!$B$14,'Scoring Weights'!$A$14,IF(J42&gt;='Scoring Weights'!$B$15,'Scoring Weights'!$A$15,'Scoring Weights'!$A$16)))</f>
        <v/>
      </c>
      <c r="M42" s="6" t="n">
        <v>7</v>
      </c>
      <c r="N42" s="6" t="n">
        <v>8</v>
      </c>
      <c r="O42" s="6" t="n">
        <v>10</v>
      </c>
      <c r="P42" s="6" t="n">
        <v>7</v>
      </c>
      <c r="Q42" s="7">
        <f>ROUND((N42*O42*M42)/P42,1)</f>
        <v/>
      </c>
      <c r="R42" s="5" t="inlineStr">
        <is>
          <t>Premium pack</t>
        </is>
      </c>
      <c r="S42" s="8" t="inlineStr">
        <is>
          <t>Expanding cross-platform demand</t>
        </is>
      </c>
      <c r="T42" s="6" t="inlineStr"/>
      <c r="U42" s="6" t="inlineStr">
        <is>
          <t>Backlog</t>
        </is>
      </c>
      <c r="V42" s="6" t="inlineStr"/>
    </row>
    <row r="43" ht="34" customHeight="1">
      <c r="A43" s="5" t="n">
        <v>39</v>
      </c>
      <c r="B43" s="5" t="inlineStr">
        <is>
          <t>Governance</t>
        </is>
      </c>
      <c r="C43" s="5" t="inlineStr">
        <is>
          <t>Governance Template Library</t>
        </is>
      </c>
      <c r="D43" s="5" t="inlineStr">
        <is>
          <t>MVP</t>
        </is>
      </c>
      <c r="E43" s="6" t="n">
        <v>9</v>
      </c>
      <c r="F43" s="6" t="n">
        <v>9</v>
      </c>
      <c r="G43" s="6" t="n">
        <v>9</v>
      </c>
      <c r="H43" s="6" t="n">
        <v>10</v>
      </c>
      <c r="I43" s="6" t="n">
        <v>9</v>
      </c>
      <c r="J43" s="7">
        <f>ROUND(SUMPRODUCT(E43:I43,'Scoring Weights'!$B$4:$B$8)*10,1)</f>
        <v/>
      </c>
      <c r="K43" s="7">
        <f>RANK.EQ(J43,$J$5:$J$64,0)</f>
        <v/>
      </c>
      <c r="L43" s="7">
        <f>IF(J43&gt;='Scoring Weights'!$B$13,'Scoring Weights'!$A$13,IF(J43&gt;='Scoring Weights'!$B$14,'Scoring Weights'!$A$14,IF(J43&gt;='Scoring Weights'!$B$15,'Scoring Weights'!$A$15,'Scoring Weights'!$A$16)))</f>
        <v/>
      </c>
      <c r="M43" s="6" t="n">
        <v>9</v>
      </c>
      <c r="N43" s="6" t="n">
        <v>8</v>
      </c>
      <c r="O43" s="6" t="n">
        <v>9</v>
      </c>
      <c r="P43" s="6" t="n">
        <v>2</v>
      </c>
      <c r="Q43" s="7">
        <f>ROUND((N43*O43*M43)/P43,1)</f>
        <v/>
      </c>
      <c r="R43" s="5" t="inlineStr">
        <is>
          <t>Freemium + pack</t>
        </is>
      </c>
      <c r="S43" s="8" t="inlineStr">
        <is>
          <t>Fast-to-build authority content</t>
        </is>
      </c>
      <c r="T43" s="6" t="inlineStr"/>
      <c r="U43" s="6" t="inlineStr">
        <is>
          <t>Backlog</t>
        </is>
      </c>
      <c r="V43" s="6" t="inlineStr"/>
    </row>
    <row r="44" ht="34" customHeight="1">
      <c r="A44" s="5" t="n">
        <v>40</v>
      </c>
      <c r="B44" s="5" t="inlineStr">
        <is>
          <t>Governance</t>
        </is>
      </c>
      <c r="C44" s="5" t="inlineStr">
        <is>
          <t>Governance Health Assessment</t>
        </is>
      </c>
      <c r="D44" s="5" t="inlineStr">
        <is>
          <t>Growth</t>
        </is>
      </c>
      <c r="E44" s="6" t="n">
        <v>9</v>
      </c>
      <c r="F44" s="6" t="n">
        <v>10</v>
      </c>
      <c r="G44" s="6" t="n">
        <v>9</v>
      </c>
      <c r="H44" s="6" t="n">
        <v>10</v>
      </c>
      <c r="I44" s="6" t="n">
        <v>6</v>
      </c>
      <c r="J44" s="7">
        <f>ROUND(SUMPRODUCT(E44:I44,'Scoring Weights'!$B$4:$B$8)*10,1)</f>
        <v/>
      </c>
      <c r="K44" s="7">
        <f>RANK.EQ(J44,$J$5:$J$64,0)</f>
        <v/>
      </c>
      <c r="L44" s="7">
        <f>IF(J44&gt;='Scoring Weights'!$B$13,'Scoring Weights'!$A$13,IF(J44&gt;='Scoring Weights'!$B$14,'Scoring Weights'!$A$14,IF(J44&gt;='Scoring Weights'!$B$15,'Scoring Weights'!$A$15,'Scoring Weights'!$A$16)))</f>
        <v/>
      </c>
      <c r="M44" s="6" t="n">
        <v>8</v>
      </c>
      <c r="N44" s="6" t="n">
        <v>8</v>
      </c>
      <c r="O44" s="6" t="n">
        <v>10</v>
      </c>
      <c r="P44" s="6" t="n">
        <v>7</v>
      </c>
      <c r="Q44" s="7">
        <f>ROUND((N44*O44*M44)/P44,1)</f>
        <v/>
      </c>
      <c r="R44" s="5" t="inlineStr">
        <is>
          <t>SaaS + consulting</t>
        </is>
      </c>
      <c r="S44" s="8" t="inlineStr">
        <is>
          <t>Lead generation plus SaaS path</t>
        </is>
      </c>
      <c r="T44" s="6" t="inlineStr"/>
      <c r="U44" s="6" t="inlineStr">
        <is>
          <t>Backlog</t>
        </is>
      </c>
      <c r="V44" s="6" t="inlineStr"/>
    </row>
    <row r="45" ht="34" customHeight="1">
      <c r="A45" s="5" t="n">
        <v>41</v>
      </c>
      <c r="B45" s="5" t="inlineStr">
        <is>
          <t>Governance</t>
        </is>
      </c>
      <c r="C45" s="5" t="inlineStr">
        <is>
          <t>DLP Policy Design Assistant</t>
        </is>
      </c>
      <c r="D45" s="5" t="inlineStr">
        <is>
          <t>Growth</t>
        </is>
      </c>
      <c r="E45" s="6" t="n">
        <v>9</v>
      </c>
      <c r="F45" s="6" t="n">
        <v>10</v>
      </c>
      <c r="G45" s="6" t="n">
        <v>9</v>
      </c>
      <c r="H45" s="6" t="n">
        <v>10</v>
      </c>
      <c r="I45" s="6" t="n">
        <v>5</v>
      </c>
      <c r="J45" s="7">
        <f>ROUND(SUMPRODUCT(E45:I45,'Scoring Weights'!$B$4:$B$8)*10,1)</f>
        <v/>
      </c>
      <c r="K45" s="7">
        <f>RANK.EQ(J45,$J$5:$J$64,0)</f>
        <v/>
      </c>
      <c r="L45" s="7">
        <f>IF(J45&gt;='Scoring Weights'!$B$13,'Scoring Weights'!$A$13,IF(J45&gt;='Scoring Weights'!$B$14,'Scoring Weights'!$A$14,IF(J45&gt;='Scoring Weights'!$B$15,'Scoring Weights'!$A$15,'Scoring Weights'!$A$16)))</f>
        <v/>
      </c>
      <c r="M45" s="6" t="n">
        <v>7</v>
      </c>
      <c r="N45" s="6" t="n">
        <v>7</v>
      </c>
      <c r="O45" s="6" t="n">
        <v>10</v>
      </c>
      <c r="P45" s="6" t="n">
        <v>8</v>
      </c>
      <c r="Q45" s="7">
        <f>ROUND((N45*O45*M45)/P45,1)</f>
        <v/>
      </c>
      <c r="R45" s="5" t="inlineStr">
        <is>
          <t>Enterprise subscription</t>
        </is>
      </c>
      <c r="S45" s="8" t="inlineStr">
        <is>
          <t>High enterprise pain and risk sensitivity</t>
        </is>
      </c>
      <c r="T45" s="6" t="inlineStr"/>
      <c r="U45" s="6" t="inlineStr">
        <is>
          <t>Backlog</t>
        </is>
      </c>
      <c r="V45" s="6" t="inlineStr"/>
    </row>
    <row r="46" ht="34" customHeight="1">
      <c r="A46" s="5" t="n">
        <v>42</v>
      </c>
      <c r="B46" s="5" t="inlineStr">
        <is>
          <t>Governance</t>
        </is>
      </c>
      <c r="C46" s="5" t="inlineStr">
        <is>
          <t>Naming Convention Generator</t>
        </is>
      </c>
      <c r="D46" s="5" t="inlineStr">
        <is>
          <t>MVP</t>
        </is>
      </c>
      <c r="E46" s="6" t="n">
        <v>8</v>
      </c>
      <c r="F46" s="6" t="n">
        <v>7</v>
      </c>
      <c r="G46" s="6" t="n">
        <v>9</v>
      </c>
      <c r="H46" s="6" t="n">
        <v>8</v>
      </c>
      <c r="I46" s="6" t="n">
        <v>10</v>
      </c>
      <c r="J46" s="7">
        <f>ROUND(SUMPRODUCT(E46:I46,'Scoring Weights'!$B$4:$B$8)*10,1)</f>
        <v/>
      </c>
      <c r="K46" s="7">
        <f>RANK.EQ(J46,$J$5:$J$64,0)</f>
        <v/>
      </c>
      <c r="L46" s="7">
        <f>IF(J46&gt;='Scoring Weights'!$B$13,'Scoring Weights'!$A$13,IF(J46&gt;='Scoring Weights'!$B$14,'Scoring Weights'!$A$14,IF(J46&gt;='Scoring Weights'!$B$15,'Scoring Weights'!$A$15,'Scoring Weights'!$A$16)))</f>
        <v/>
      </c>
      <c r="M46" s="6" t="n">
        <v>9</v>
      </c>
      <c r="N46" s="6" t="n">
        <v>8</v>
      </c>
      <c r="O46" s="6" t="n">
        <v>7</v>
      </c>
      <c r="P46" s="6" t="n">
        <v>1</v>
      </c>
      <c r="Q46" s="7">
        <f>ROUND((N46*O46*M46)/P46,1)</f>
        <v/>
      </c>
      <c r="R46" s="5" t="inlineStr">
        <is>
          <t>Free</t>
        </is>
      </c>
      <c r="S46" s="8" t="inlineStr">
        <is>
          <t>Fast SEO tool and lead magnet</t>
        </is>
      </c>
      <c r="T46" s="6" t="inlineStr"/>
      <c r="U46" s="6" t="inlineStr">
        <is>
          <t>Backlog</t>
        </is>
      </c>
      <c r="V46" s="6" t="inlineStr"/>
    </row>
    <row r="47" ht="34" customHeight="1">
      <c r="A47" s="5" t="n">
        <v>43</v>
      </c>
      <c r="B47" s="5" t="inlineStr">
        <is>
          <t>Governance</t>
        </is>
      </c>
      <c r="C47" s="5" t="inlineStr">
        <is>
          <t>Solution Documentation Generator</t>
        </is>
      </c>
      <c r="D47" s="5" t="inlineStr">
        <is>
          <t>Growth</t>
        </is>
      </c>
      <c r="E47" s="6" t="n">
        <v>10</v>
      </c>
      <c r="F47" s="6" t="n">
        <v>10</v>
      </c>
      <c r="G47" s="6" t="n">
        <v>9</v>
      </c>
      <c r="H47" s="6" t="n">
        <v>10</v>
      </c>
      <c r="I47" s="6" t="n">
        <v>6</v>
      </c>
      <c r="J47" s="7">
        <f>ROUND(SUMPRODUCT(E47:I47,'Scoring Weights'!$B$4:$B$8)*10,1)</f>
        <v/>
      </c>
      <c r="K47" s="7">
        <f>RANK.EQ(J47,$J$5:$J$64,0)</f>
        <v/>
      </c>
      <c r="L47" s="7">
        <f>IF(J47&gt;='Scoring Weights'!$B$13,'Scoring Weights'!$A$13,IF(J47&gt;='Scoring Weights'!$B$14,'Scoring Weights'!$A$14,IF(J47&gt;='Scoring Weights'!$B$15,'Scoring Weights'!$A$15,'Scoring Weights'!$A$16)))</f>
        <v/>
      </c>
      <c r="M47" s="6" t="n">
        <v>8</v>
      </c>
      <c r="N47" s="6" t="n">
        <v>9</v>
      </c>
      <c r="O47" s="6" t="n">
        <v>10</v>
      </c>
      <c r="P47" s="6" t="n">
        <v>7</v>
      </c>
      <c r="Q47" s="7">
        <f>ROUND((N47*O47*M47)/P47,1)</f>
        <v/>
      </c>
      <c r="R47" s="5" t="inlineStr">
        <is>
          <t>Pro subscription</t>
        </is>
      </c>
      <c r="S47" s="8" t="inlineStr">
        <is>
          <t>Broad pain with strong willingness to pay</t>
        </is>
      </c>
      <c r="T47" s="6" t="inlineStr"/>
      <c r="U47" s="6" t="inlineStr">
        <is>
          <t>Backlog</t>
        </is>
      </c>
      <c r="V47" s="6" t="inlineStr"/>
    </row>
    <row r="48" ht="34" customHeight="1">
      <c r="A48" s="5" t="n">
        <v>44</v>
      </c>
      <c r="B48" s="5" t="inlineStr">
        <is>
          <t>Governance</t>
        </is>
      </c>
      <c r="C48" s="5" t="inlineStr">
        <is>
          <t>Tenant Analytics Suite</t>
        </is>
      </c>
      <c r="D48" s="5" t="inlineStr">
        <is>
          <t>Scale</t>
        </is>
      </c>
      <c r="E48" s="6" t="n">
        <v>9</v>
      </c>
      <c r="F48" s="6" t="n">
        <v>10</v>
      </c>
      <c r="G48" s="6" t="n">
        <v>8</v>
      </c>
      <c r="H48" s="6" t="n">
        <v>10</v>
      </c>
      <c r="I48" s="6" t="n">
        <v>3</v>
      </c>
      <c r="J48" s="7">
        <f>ROUND(SUMPRODUCT(E48:I48,'Scoring Weights'!$B$4:$B$8)*10,1)</f>
        <v/>
      </c>
      <c r="K48" s="7">
        <f>RANK.EQ(J48,$J$5:$J$64,0)</f>
        <v/>
      </c>
      <c r="L48" s="7">
        <f>IF(J48&gt;='Scoring Weights'!$B$13,'Scoring Weights'!$A$13,IF(J48&gt;='Scoring Weights'!$B$14,'Scoring Weights'!$A$14,IF(J48&gt;='Scoring Weights'!$B$15,'Scoring Weights'!$A$15,'Scoring Weights'!$A$16)))</f>
        <v/>
      </c>
      <c r="M48" s="6" t="n">
        <v>6</v>
      </c>
      <c r="N48" s="6" t="n">
        <v>8</v>
      </c>
      <c r="O48" s="6" t="n">
        <v>10</v>
      </c>
      <c r="P48" s="6" t="n">
        <v>10</v>
      </c>
      <c r="Q48" s="7">
        <f>ROUND((N48*O48*M48)/P48,1)</f>
        <v/>
      </c>
      <c r="R48" s="5" t="inlineStr">
        <is>
          <t>Enterprise SaaS</t>
        </is>
      </c>
      <c r="S48" s="8" t="inlineStr">
        <is>
          <t>High ARR potential, integration-heavy</t>
        </is>
      </c>
      <c r="T48" s="6" t="inlineStr"/>
      <c r="U48" s="6" t="inlineStr">
        <is>
          <t>Backlog</t>
        </is>
      </c>
      <c r="V48" s="6" t="inlineStr"/>
    </row>
    <row r="49" ht="34" customHeight="1">
      <c r="A49" s="5" t="n">
        <v>45</v>
      </c>
      <c r="B49" s="5" t="inlineStr">
        <is>
          <t>Governance</t>
        </is>
      </c>
      <c r="C49" s="5" t="inlineStr">
        <is>
          <t>Environment Cost Analyzer</t>
        </is>
      </c>
      <c r="D49" s="5" t="inlineStr">
        <is>
          <t>Scale</t>
        </is>
      </c>
      <c r="E49" s="6" t="n">
        <v>8</v>
      </c>
      <c r="F49" s="6" t="n">
        <v>10</v>
      </c>
      <c r="G49" s="6" t="n">
        <v>9</v>
      </c>
      <c r="H49" s="6" t="n">
        <v>10</v>
      </c>
      <c r="I49" s="6" t="n">
        <v>4</v>
      </c>
      <c r="J49" s="7">
        <f>ROUND(SUMPRODUCT(E49:I49,'Scoring Weights'!$B$4:$B$8)*10,1)</f>
        <v/>
      </c>
      <c r="K49" s="7">
        <f>RANK.EQ(J49,$J$5:$J$64,0)</f>
        <v/>
      </c>
      <c r="L49" s="7">
        <f>IF(J49&gt;='Scoring Weights'!$B$13,'Scoring Weights'!$A$13,IF(J49&gt;='Scoring Weights'!$B$14,'Scoring Weights'!$A$14,IF(J49&gt;='Scoring Weights'!$B$15,'Scoring Weights'!$A$15,'Scoring Weights'!$A$16)))</f>
        <v/>
      </c>
      <c r="M49" s="6" t="n">
        <v>6</v>
      </c>
      <c r="N49" s="6" t="n">
        <v>7</v>
      </c>
      <c r="O49" s="6" t="n">
        <v>10</v>
      </c>
      <c r="P49" s="6" t="n">
        <v>9</v>
      </c>
      <c r="Q49" s="7">
        <f>ROUND((N49*O49*M49)/P49,1)</f>
        <v/>
      </c>
      <c r="R49" s="5" t="inlineStr">
        <is>
          <t>Enterprise SaaS</t>
        </is>
      </c>
      <c r="S49" s="8" t="inlineStr">
        <is>
          <t>FinOps angle and executive value</t>
        </is>
      </c>
      <c r="T49" s="6" t="inlineStr"/>
      <c r="U49" s="6" t="inlineStr">
        <is>
          <t>Backlog</t>
        </is>
      </c>
      <c r="V49" s="6" t="inlineStr"/>
    </row>
    <row r="50" ht="34" customHeight="1">
      <c r="A50" s="5" t="n">
        <v>46</v>
      </c>
      <c r="B50" s="5" t="inlineStr">
        <is>
          <t>AI</t>
        </is>
      </c>
      <c r="C50" s="5" t="inlineStr">
        <is>
          <t>Prompt Library for Makers</t>
        </is>
      </c>
      <c r="D50" s="5" t="inlineStr">
        <is>
          <t>MVP</t>
        </is>
      </c>
      <c r="E50" s="6" t="n">
        <v>10</v>
      </c>
      <c r="F50" s="6" t="n">
        <v>7</v>
      </c>
      <c r="G50" s="6" t="n">
        <v>10</v>
      </c>
      <c r="H50" s="6" t="n">
        <v>7</v>
      </c>
      <c r="I50" s="6" t="n">
        <v>10</v>
      </c>
      <c r="J50" s="7">
        <f>ROUND(SUMPRODUCT(E50:I50,'Scoring Weights'!$B$4:$B$8)*10,1)</f>
        <v/>
      </c>
      <c r="K50" s="7">
        <f>RANK.EQ(J50,$J$5:$J$64,0)</f>
        <v/>
      </c>
      <c r="L50" s="7">
        <f>IF(J50&gt;='Scoring Weights'!$B$13,'Scoring Weights'!$A$13,IF(J50&gt;='Scoring Weights'!$B$14,'Scoring Weights'!$A$14,IF(J50&gt;='Scoring Weights'!$B$15,'Scoring Weights'!$A$15,'Scoring Weights'!$A$16)))</f>
        <v/>
      </c>
      <c r="M50" s="6" t="n">
        <v>8</v>
      </c>
      <c r="N50" s="6" t="n">
        <v>10</v>
      </c>
      <c r="O50" s="6" t="n">
        <v>7</v>
      </c>
      <c r="P50" s="6" t="n">
        <v>1</v>
      </c>
      <c r="Q50" s="7">
        <f>ROUND((N50*O50*M50)/P50,1)</f>
        <v/>
      </c>
      <c r="R50" s="5" t="inlineStr">
        <is>
          <t>Freemium</t>
        </is>
      </c>
      <c r="S50" s="8" t="inlineStr">
        <is>
          <t>Rapid content acquisition and SEO</t>
        </is>
      </c>
      <c r="T50" s="6" t="inlineStr"/>
      <c r="U50" s="6" t="inlineStr">
        <is>
          <t>Backlog</t>
        </is>
      </c>
      <c r="V50" s="6" t="inlineStr"/>
    </row>
    <row r="51" ht="34" customHeight="1">
      <c r="A51" s="5" t="n">
        <v>47</v>
      </c>
      <c r="B51" s="5" t="inlineStr">
        <is>
          <t>AI</t>
        </is>
      </c>
      <c r="C51" s="5" t="inlineStr">
        <is>
          <t>AI Solution Architect Advisor</t>
        </is>
      </c>
      <c r="D51" s="5" t="inlineStr">
        <is>
          <t>Scale</t>
        </is>
      </c>
      <c r="E51" s="6" t="n">
        <v>10</v>
      </c>
      <c r="F51" s="6" t="n">
        <v>10</v>
      </c>
      <c r="G51" s="6" t="n">
        <v>9</v>
      </c>
      <c r="H51" s="6" t="n">
        <v>10</v>
      </c>
      <c r="I51" s="6" t="n">
        <v>3</v>
      </c>
      <c r="J51" s="7">
        <f>ROUND(SUMPRODUCT(E51:I51,'Scoring Weights'!$B$4:$B$8)*10,1)</f>
        <v/>
      </c>
      <c r="K51" s="7">
        <f>RANK.EQ(J51,$J$5:$J$64,0)</f>
        <v/>
      </c>
      <c r="L51" s="7">
        <f>IF(J51&gt;='Scoring Weights'!$B$13,'Scoring Weights'!$A$13,IF(J51&gt;='Scoring Weights'!$B$14,'Scoring Weights'!$A$14,IF(J51&gt;='Scoring Weights'!$B$15,'Scoring Weights'!$A$15,'Scoring Weights'!$A$16)))</f>
        <v/>
      </c>
      <c r="M51" s="6" t="n">
        <v>6</v>
      </c>
      <c r="N51" s="6" t="n">
        <v>9</v>
      </c>
      <c r="O51" s="6" t="n">
        <v>10</v>
      </c>
      <c r="P51" s="6" t="n">
        <v>10</v>
      </c>
      <c r="Q51" s="7">
        <f>ROUND((N51*O51*M51)/P51,1)</f>
        <v/>
      </c>
      <c r="R51" s="5" t="inlineStr">
        <is>
          <t>SaaS</t>
        </is>
      </c>
      <c r="S51" s="8" t="inlineStr">
        <is>
          <t>Flagship differentiator, high complexity</t>
        </is>
      </c>
      <c r="T51" s="6" t="inlineStr"/>
      <c r="U51" s="6" t="inlineStr">
        <is>
          <t>Backlog</t>
        </is>
      </c>
      <c r="V51" s="6" t="inlineStr"/>
    </row>
    <row r="52" ht="34" customHeight="1">
      <c r="A52" s="5" t="n">
        <v>48</v>
      </c>
      <c r="B52" s="5" t="inlineStr">
        <is>
          <t>AI</t>
        </is>
      </c>
      <c r="C52" s="5" t="inlineStr">
        <is>
          <t>RAG Pattern Library</t>
        </is>
      </c>
      <c r="D52" s="5" t="inlineStr">
        <is>
          <t>Growth</t>
        </is>
      </c>
      <c r="E52" s="6" t="n">
        <v>9</v>
      </c>
      <c r="F52" s="6" t="n">
        <v>9</v>
      </c>
      <c r="G52" s="6" t="n">
        <v>9</v>
      </c>
      <c r="H52" s="6" t="n">
        <v>9</v>
      </c>
      <c r="I52" s="6" t="n">
        <v>7</v>
      </c>
      <c r="J52" s="7">
        <f>ROUND(SUMPRODUCT(E52:I52,'Scoring Weights'!$B$4:$B$8)*10,1)</f>
        <v/>
      </c>
      <c r="K52" s="7">
        <f>RANK.EQ(J52,$J$5:$J$64,0)</f>
        <v/>
      </c>
      <c r="L52" s="7">
        <f>IF(J52&gt;='Scoring Weights'!$B$13,'Scoring Weights'!$A$13,IF(J52&gt;='Scoring Weights'!$B$14,'Scoring Weights'!$A$14,IF(J52&gt;='Scoring Weights'!$B$15,'Scoring Weights'!$A$15,'Scoring Weights'!$A$16)))</f>
        <v/>
      </c>
      <c r="M52" s="6" t="n">
        <v>7</v>
      </c>
      <c r="N52" s="6" t="n">
        <v>8</v>
      </c>
      <c r="O52" s="6" t="n">
        <v>9</v>
      </c>
      <c r="P52" s="6" t="n">
        <v>5</v>
      </c>
      <c r="Q52" s="7">
        <f>ROUND((N52*O52*M52)/P52,1)</f>
        <v/>
      </c>
      <c r="R52" s="5" t="inlineStr">
        <is>
          <t>Premium blueprints</t>
        </is>
      </c>
      <c r="S52" s="8" t="inlineStr">
        <is>
          <t>Emerging architecture demand</t>
        </is>
      </c>
      <c r="T52" s="6" t="inlineStr"/>
      <c r="U52" s="6" t="inlineStr">
        <is>
          <t>Backlog</t>
        </is>
      </c>
      <c r="V52" s="6" t="inlineStr"/>
    </row>
    <row r="53" ht="34" customHeight="1">
      <c r="A53" s="5" t="n">
        <v>49</v>
      </c>
      <c r="B53" s="5" t="inlineStr">
        <is>
          <t>AI</t>
        </is>
      </c>
      <c r="C53" s="5" t="inlineStr">
        <is>
          <t>Agent Template Marketplace</t>
        </is>
      </c>
      <c r="D53" s="5" t="inlineStr">
        <is>
          <t>Growth</t>
        </is>
      </c>
      <c r="E53" s="6" t="n">
        <v>9</v>
      </c>
      <c r="F53" s="6" t="n">
        <v>9</v>
      </c>
      <c r="G53" s="6" t="n">
        <v>9</v>
      </c>
      <c r="H53" s="6" t="n">
        <v>9</v>
      </c>
      <c r="I53" s="6" t="n">
        <v>5</v>
      </c>
      <c r="J53" s="7">
        <f>ROUND(SUMPRODUCT(E53:I53,'Scoring Weights'!$B$4:$B$8)*10,1)</f>
        <v/>
      </c>
      <c r="K53" s="7">
        <f>RANK.EQ(J53,$J$5:$J$64,0)</f>
        <v/>
      </c>
      <c r="L53" s="7">
        <f>IF(J53&gt;='Scoring Weights'!$B$13,'Scoring Weights'!$A$13,IF(J53&gt;='Scoring Weights'!$B$14,'Scoring Weights'!$A$14,IF(J53&gt;='Scoring Weights'!$B$15,'Scoring Weights'!$A$15,'Scoring Weights'!$A$16)))</f>
        <v/>
      </c>
      <c r="M53" s="6" t="n">
        <v>7</v>
      </c>
      <c r="N53" s="6" t="n">
        <v>8</v>
      </c>
      <c r="O53" s="6" t="n">
        <v>9</v>
      </c>
      <c r="P53" s="6" t="n">
        <v>8</v>
      </c>
      <c r="Q53" s="7">
        <f>ROUND((N53*O53*M53)/P53,1)</f>
        <v/>
      </c>
      <c r="R53" s="5" t="inlineStr">
        <is>
          <t>Marketplace commission</t>
        </is>
      </c>
      <c r="S53" s="8" t="inlineStr">
        <is>
          <t>Emerging marketplace category</t>
        </is>
      </c>
      <c r="T53" s="6" t="inlineStr"/>
      <c r="U53" s="6" t="inlineStr">
        <is>
          <t>Backlog</t>
        </is>
      </c>
      <c r="V53" s="6" t="inlineStr"/>
    </row>
    <row r="54" ht="34" customHeight="1">
      <c r="A54" s="5" t="n">
        <v>50</v>
      </c>
      <c r="B54" s="5" t="inlineStr">
        <is>
          <t>AI</t>
        </is>
      </c>
      <c r="C54" s="5" t="inlineStr">
        <is>
          <t>AI Builder Recipe Library</t>
        </is>
      </c>
      <c r="D54" s="5" t="inlineStr">
        <is>
          <t>MVP</t>
        </is>
      </c>
      <c r="E54" s="6" t="n">
        <v>8</v>
      </c>
      <c r="F54" s="6" t="n">
        <v>8</v>
      </c>
      <c r="G54" s="6" t="n">
        <v>9</v>
      </c>
      <c r="H54" s="6" t="n">
        <v>8</v>
      </c>
      <c r="I54" s="6" t="n">
        <v>9</v>
      </c>
      <c r="J54" s="7">
        <f>ROUND(SUMPRODUCT(E54:I54,'Scoring Weights'!$B$4:$B$8)*10,1)</f>
        <v/>
      </c>
      <c r="K54" s="7">
        <f>RANK.EQ(J54,$J$5:$J$64,0)</f>
        <v/>
      </c>
      <c r="L54" s="7">
        <f>IF(J54&gt;='Scoring Weights'!$B$13,'Scoring Weights'!$A$13,IF(J54&gt;='Scoring Weights'!$B$14,'Scoring Weights'!$A$14,IF(J54&gt;='Scoring Weights'!$B$15,'Scoring Weights'!$A$15,'Scoring Weights'!$A$16)))</f>
        <v/>
      </c>
      <c r="M54" s="6" t="n">
        <v>8</v>
      </c>
      <c r="N54" s="6" t="n">
        <v>8</v>
      </c>
      <c r="O54" s="6" t="n">
        <v>8</v>
      </c>
      <c r="P54" s="6" t="n">
        <v>2</v>
      </c>
      <c r="Q54" s="7">
        <f>ROUND((N54*O54*M54)/P54,1)</f>
        <v/>
      </c>
      <c r="R54" s="5" t="inlineStr">
        <is>
          <t>Freemium + pack</t>
        </is>
      </c>
      <c r="S54" s="8" t="inlineStr">
        <is>
          <t>Accessible path for citizen developers</t>
        </is>
      </c>
      <c r="T54" s="6" t="inlineStr"/>
      <c r="U54" s="6" t="inlineStr">
        <is>
          <t>Backlog</t>
        </is>
      </c>
      <c r="V54" s="6" t="inlineStr"/>
    </row>
    <row r="55" ht="34" customHeight="1">
      <c r="A55" s="5" t="n">
        <v>51</v>
      </c>
      <c r="B55" s="5" t="inlineStr">
        <is>
          <t>Developer Tools</t>
        </is>
      </c>
      <c r="C55" s="5" t="inlineStr">
        <is>
          <t>Dataverse Schema Designer</t>
        </is>
      </c>
      <c r="D55" s="5" t="inlineStr">
        <is>
          <t>Growth</t>
        </is>
      </c>
      <c r="E55" s="6" t="n">
        <v>9</v>
      </c>
      <c r="F55" s="6" t="n">
        <v>10</v>
      </c>
      <c r="G55" s="6" t="n">
        <v>9</v>
      </c>
      <c r="H55" s="6" t="n">
        <v>10</v>
      </c>
      <c r="I55" s="6" t="n">
        <v>5</v>
      </c>
      <c r="J55" s="7">
        <f>ROUND(SUMPRODUCT(E55:I55,'Scoring Weights'!$B$4:$B$8)*10,1)</f>
        <v/>
      </c>
      <c r="K55" s="7">
        <f>RANK.EQ(J55,$J$5:$J$64,0)</f>
        <v/>
      </c>
      <c r="L55" s="7">
        <f>IF(J55&gt;='Scoring Weights'!$B$13,'Scoring Weights'!$A$13,IF(J55&gt;='Scoring Weights'!$B$14,'Scoring Weights'!$A$14,IF(J55&gt;='Scoring Weights'!$B$15,'Scoring Weights'!$A$15,'Scoring Weights'!$A$16)))</f>
        <v/>
      </c>
      <c r="M55" s="6" t="n">
        <v>8</v>
      </c>
      <c r="N55" s="6" t="n">
        <v>8</v>
      </c>
      <c r="O55" s="6" t="n">
        <v>10</v>
      </c>
      <c r="P55" s="6" t="n">
        <v>8</v>
      </c>
      <c r="Q55" s="7">
        <f>ROUND((N55*O55*M55)/P55,1)</f>
        <v/>
      </c>
      <c r="R55" s="5" t="inlineStr">
        <is>
          <t>Pro subscription</t>
        </is>
      </c>
      <c r="S55" s="8" t="inlineStr">
        <is>
          <t>High-value architecture utility</t>
        </is>
      </c>
      <c r="T55" s="6" t="inlineStr"/>
      <c r="U55" s="6" t="inlineStr">
        <is>
          <t>Backlog</t>
        </is>
      </c>
      <c r="V55" s="6" t="inlineStr"/>
    </row>
    <row r="56" ht="34" customHeight="1">
      <c r="A56" s="5" t="n">
        <v>52</v>
      </c>
      <c r="B56" s="5" t="inlineStr">
        <is>
          <t>Developer Tools</t>
        </is>
      </c>
      <c r="C56" s="5" t="inlineStr">
        <is>
          <t>Dataverse Schema Analyzer</t>
        </is>
      </c>
      <c r="D56" s="5" t="inlineStr">
        <is>
          <t>Scale</t>
        </is>
      </c>
      <c r="E56" s="6" t="n">
        <v>9</v>
      </c>
      <c r="F56" s="6" t="n">
        <v>10</v>
      </c>
      <c r="G56" s="6" t="n">
        <v>8</v>
      </c>
      <c r="H56" s="6" t="n">
        <v>10</v>
      </c>
      <c r="I56" s="6" t="n">
        <v>4</v>
      </c>
      <c r="J56" s="7">
        <f>ROUND(SUMPRODUCT(E56:I56,'Scoring Weights'!$B$4:$B$8)*10,1)</f>
        <v/>
      </c>
      <c r="K56" s="7">
        <f>RANK.EQ(J56,$J$5:$J$64,0)</f>
        <v/>
      </c>
      <c r="L56" s="7">
        <f>IF(J56&gt;='Scoring Weights'!$B$13,'Scoring Weights'!$A$13,IF(J56&gt;='Scoring Weights'!$B$14,'Scoring Weights'!$A$14,IF(J56&gt;='Scoring Weights'!$B$15,'Scoring Weights'!$A$15,'Scoring Weights'!$A$16)))</f>
        <v/>
      </c>
      <c r="M56" s="6" t="n">
        <v>7</v>
      </c>
      <c r="N56" s="6" t="n">
        <v>7</v>
      </c>
      <c r="O56" s="6" t="n">
        <v>10</v>
      </c>
      <c r="P56" s="6" t="n">
        <v>9</v>
      </c>
      <c r="Q56" s="7">
        <f>ROUND((N56*O56*M56)/P56,1)</f>
        <v/>
      </c>
      <c r="R56" s="5" t="inlineStr">
        <is>
          <t>SaaS</t>
        </is>
      </c>
      <c r="S56" s="8" t="inlineStr">
        <is>
          <t>SaaS diagnostic and consulting lead</t>
        </is>
      </c>
      <c r="T56" s="6" t="inlineStr"/>
      <c r="U56" s="6" t="inlineStr">
        <is>
          <t>Backlog</t>
        </is>
      </c>
      <c r="V56" s="6" t="inlineStr"/>
    </row>
    <row r="57" ht="34" customHeight="1">
      <c r="A57" s="5" t="n">
        <v>53</v>
      </c>
      <c r="B57" s="5" t="inlineStr">
        <is>
          <t>Developer Tools</t>
        </is>
      </c>
      <c r="C57" s="5" t="inlineStr">
        <is>
          <t>Solution Estimator</t>
        </is>
      </c>
      <c r="D57" s="5" t="inlineStr">
        <is>
          <t>Growth</t>
        </is>
      </c>
      <c r="E57" s="6" t="n">
        <v>8</v>
      </c>
      <c r="F57" s="6" t="n">
        <v>10</v>
      </c>
      <c r="G57" s="6" t="n">
        <v>9</v>
      </c>
      <c r="H57" s="6" t="n">
        <v>9</v>
      </c>
      <c r="I57" s="6" t="n">
        <v>7</v>
      </c>
      <c r="J57" s="7">
        <f>ROUND(SUMPRODUCT(E57:I57,'Scoring Weights'!$B$4:$B$8)*10,1)</f>
        <v/>
      </c>
      <c r="K57" s="7">
        <f>RANK.EQ(J57,$J$5:$J$64,0)</f>
        <v/>
      </c>
      <c r="L57" s="7">
        <f>IF(J57&gt;='Scoring Weights'!$B$13,'Scoring Weights'!$A$13,IF(J57&gt;='Scoring Weights'!$B$14,'Scoring Weights'!$A$14,IF(J57&gt;='Scoring Weights'!$B$15,'Scoring Weights'!$A$15,'Scoring Weights'!$A$16)))</f>
        <v/>
      </c>
      <c r="M57" s="6" t="n">
        <v>8</v>
      </c>
      <c r="N57" s="6" t="n">
        <v>7</v>
      </c>
      <c r="O57" s="6" t="n">
        <v>9</v>
      </c>
      <c r="P57" s="6" t="n">
        <v>5</v>
      </c>
      <c r="Q57" s="7">
        <f>ROUND((N57*O57*M57)/P57,1)</f>
        <v/>
      </c>
      <c r="R57" s="5" t="inlineStr">
        <is>
          <t>Pro + consulting</t>
        </is>
      </c>
      <c r="S57" s="8" t="inlineStr">
        <is>
          <t>Consultant-friendly planning tool</t>
        </is>
      </c>
      <c r="T57" s="6" t="inlineStr"/>
      <c r="U57" s="6" t="inlineStr">
        <is>
          <t>Backlog</t>
        </is>
      </c>
      <c r="V57" s="6" t="inlineStr"/>
    </row>
    <row r="58" ht="34" customHeight="1">
      <c r="A58" s="5" t="n">
        <v>54</v>
      </c>
      <c r="B58" s="5" t="inlineStr">
        <is>
          <t>Developer Tools</t>
        </is>
      </c>
      <c r="C58" s="5" t="inlineStr">
        <is>
          <t>Architecture Diagram Generator</t>
        </is>
      </c>
      <c r="D58" s="5" t="inlineStr">
        <is>
          <t>Growth</t>
        </is>
      </c>
      <c r="E58" s="6" t="n">
        <v>9</v>
      </c>
      <c r="F58" s="6" t="n">
        <v>9</v>
      </c>
      <c r="G58" s="6" t="n">
        <v>9</v>
      </c>
      <c r="H58" s="6" t="n">
        <v>10</v>
      </c>
      <c r="I58" s="6" t="n">
        <v>5</v>
      </c>
      <c r="J58" s="7">
        <f>ROUND(SUMPRODUCT(E58:I58,'Scoring Weights'!$B$4:$B$8)*10,1)</f>
        <v/>
      </c>
      <c r="K58" s="7">
        <f>RANK.EQ(J58,$J$5:$J$64,0)</f>
        <v/>
      </c>
      <c r="L58" s="7">
        <f>IF(J58&gt;='Scoring Weights'!$B$13,'Scoring Weights'!$A$13,IF(J58&gt;='Scoring Weights'!$B$14,'Scoring Weights'!$A$14,IF(J58&gt;='Scoring Weights'!$B$15,'Scoring Weights'!$A$15,'Scoring Weights'!$A$16)))</f>
        <v/>
      </c>
      <c r="M58" s="6" t="n">
        <v>7</v>
      </c>
      <c r="N58" s="6" t="n">
        <v>8</v>
      </c>
      <c r="O58" s="6" t="n">
        <v>9</v>
      </c>
      <c r="P58" s="6" t="n">
        <v>8</v>
      </c>
      <c r="Q58" s="7">
        <f>ROUND((N58*O58*M58)/P58,1)</f>
        <v/>
      </c>
      <c r="R58" s="5" t="inlineStr">
        <is>
          <t>Pro subscription</t>
        </is>
      </c>
      <c r="S58" s="8" t="inlineStr">
        <is>
          <t>Strong shareability and subscription value</t>
        </is>
      </c>
      <c r="T58" s="6" t="inlineStr"/>
      <c r="U58" s="6" t="inlineStr">
        <is>
          <t>Backlog</t>
        </is>
      </c>
      <c r="V58" s="6" t="inlineStr"/>
    </row>
    <row r="59" ht="34" customHeight="1">
      <c r="A59" s="5" t="n">
        <v>55</v>
      </c>
      <c r="B59" s="5" t="inlineStr">
        <is>
          <t>Developer Tools</t>
        </is>
      </c>
      <c r="C59" s="5" t="inlineStr">
        <is>
          <t>Power Apps Performance Scanner</t>
        </is>
      </c>
      <c r="D59" s="5" t="inlineStr">
        <is>
          <t>Scale</t>
        </is>
      </c>
      <c r="E59" s="6" t="n">
        <v>9</v>
      </c>
      <c r="F59" s="6" t="n">
        <v>10</v>
      </c>
      <c r="G59" s="6" t="n">
        <v>9</v>
      </c>
      <c r="H59" s="6" t="n">
        <v>10</v>
      </c>
      <c r="I59" s="6" t="n">
        <v>3</v>
      </c>
      <c r="J59" s="7">
        <f>ROUND(SUMPRODUCT(E59:I59,'Scoring Weights'!$B$4:$B$8)*10,1)</f>
        <v/>
      </c>
      <c r="K59" s="7">
        <f>RANK.EQ(J59,$J$5:$J$64,0)</f>
        <v/>
      </c>
      <c r="L59" s="7">
        <f>IF(J59&gt;='Scoring Weights'!$B$13,'Scoring Weights'!$A$13,IF(J59&gt;='Scoring Weights'!$B$14,'Scoring Weights'!$A$14,IF(J59&gt;='Scoring Weights'!$B$15,'Scoring Weights'!$A$15,'Scoring Weights'!$A$16)))</f>
        <v/>
      </c>
      <c r="M59" s="6" t="n">
        <v>6</v>
      </c>
      <c r="N59" s="6" t="n">
        <v>8</v>
      </c>
      <c r="O59" s="6" t="n">
        <v>10</v>
      </c>
      <c r="P59" s="6" t="n">
        <v>10</v>
      </c>
      <c r="Q59" s="7">
        <f>ROUND((N59*O59*M59)/P59,1)</f>
        <v/>
      </c>
      <c r="R59" s="5" t="inlineStr">
        <is>
          <t>SaaS</t>
        </is>
      </c>
      <c r="S59" s="8" t="inlineStr">
        <is>
          <t>Difficult but defensible SaaS</t>
        </is>
      </c>
      <c r="T59" s="6" t="inlineStr"/>
      <c r="U59" s="6" t="inlineStr">
        <is>
          <t>Backlog</t>
        </is>
      </c>
      <c r="V59" s="6" t="inlineStr"/>
    </row>
    <row r="60" ht="34" customHeight="1">
      <c r="A60" s="5" t="n">
        <v>56</v>
      </c>
      <c r="B60" s="5" t="inlineStr">
        <is>
          <t>Community</t>
        </is>
      </c>
      <c r="C60" s="5" t="inlineStr">
        <is>
          <t>Project Showcase Gallery</t>
        </is>
      </c>
      <c r="D60" s="5" t="inlineStr">
        <is>
          <t>Growth</t>
        </is>
      </c>
      <c r="E60" s="6" t="n">
        <v>8</v>
      </c>
      <c r="F60" s="6" t="n">
        <v>7</v>
      </c>
      <c r="G60" s="6" t="n">
        <v>9</v>
      </c>
      <c r="H60" s="6" t="n">
        <v>9</v>
      </c>
      <c r="I60" s="6" t="n">
        <v>7</v>
      </c>
      <c r="J60" s="7">
        <f>ROUND(SUMPRODUCT(E60:I60,'Scoring Weights'!$B$4:$B$8)*10,1)</f>
        <v/>
      </c>
      <c r="K60" s="7">
        <f>RANK.EQ(J60,$J$5:$J$64,0)</f>
        <v/>
      </c>
      <c r="L60" s="7">
        <f>IF(J60&gt;='Scoring Weights'!$B$13,'Scoring Weights'!$A$13,IF(J60&gt;='Scoring Weights'!$B$14,'Scoring Weights'!$A$14,IF(J60&gt;='Scoring Weights'!$B$15,'Scoring Weights'!$A$15,'Scoring Weights'!$A$16)))</f>
        <v/>
      </c>
      <c r="M60" s="6" t="n">
        <v>8</v>
      </c>
      <c r="N60" s="6" t="n">
        <v>8</v>
      </c>
      <c r="O60" s="6" t="n">
        <v>8</v>
      </c>
      <c r="P60" s="6" t="n">
        <v>5</v>
      </c>
      <c r="Q60" s="7">
        <f>ROUND((N60*O60*M60)/P60,1)</f>
        <v/>
      </c>
      <c r="R60" s="5" t="inlineStr">
        <is>
          <t>Sponsorship + Pro profiles</t>
        </is>
      </c>
      <c r="S60" s="8" t="inlineStr">
        <is>
          <t>Social proof, backlinks and creator acquisition</t>
        </is>
      </c>
      <c r="T60" s="6" t="inlineStr"/>
      <c r="U60" s="6" t="inlineStr">
        <is>
          <t>Backlog</t>
        </is>
      </c>
      <c r="V60" s="6" t="inlineStr"/>
    </row>
    <row r="61" ht="34" customHeight="1">
      <c r="A61" s="5" t="n">
        <v>57</v>
      </c>
      <c r="B61" s="5" t="inlineStr">
        <is>
          <t>Community</t>
        </is>
      </c>
      <c r="C61" s="5" t="inlineStr">
        <is>
          <t>Design Challenges</t>
        </is>
      </c>
      <c r="D61" s="5" t="inlineStr">
        <is>
          <t>Growth</t>
        </is>
      </c>
      <c r="E61" s="6" t="n">
        <v>8</v>
      </c>
      <c r="F61" s="6" t="n">
        <v>6</v>
      </c>
      <c r="G61" s="6" t="n">
        <v>9</v>
      </c>
      <c r="H61" s="6" t="n">
        <v>9</v>
      </c>
      <c r="I61" s="6" t="n">
        <v>7</v>
      </c>
      <c r="J61" s="7">
        <f>ROUND(SUMPRODUCT(E61:I61,'Scoring Weights'!$B$4:$B$8)*10,1)</f>
        <v/>
      </c>
      <c r="K61" s="7">
        <f>RANK.EQ(J61,$J$5:$J$64,0)</f>
        <v/>
      </c>
      <c r="L61" s="7">
        <f>IF(J61&gt;='Scoring Weights'!$B$13,'Scoring Weights'!$A$13,IF(J61&gt;='Scoring Weights'!$B$14,'Scoring Weights'!$A$14,IF(J61&gt;='Scoring Weights'!$B$15,'Scoring Weights'!$A$15,'Scoring Weights'!$A$16)))</f>
        <v/>
      </c>
      <c r="M61" s="6" t="n">
        <v>7</v>
      </c>
      <c r="N61" s="6" t="n">
        <v>8</v>
      </c>
      <c r="O61" s="6" t="n">
        <v>8</v>
      </c>
      <c r="P61" s="6" t="n">
        <v>5</v>
      </c>
      <c r="Q61" s="7">
        <f>ROUND((N61*O61*M61)/P61,1)</f>
        <v/>
      </c>
      <c r="R61" s="5" t="inlineStr">
        <is>
          <t>Sponsorship</t>
        </is>
      </c>
      <c r="S61" s="8" t="inlineStr">
        <is>
          <t>Recurring engagement loop</t>
        </is>
      </c>
      <c r="T61" s="6" t="inlineStr"/>
      <c r="U61" s="6" t="inlineStr">
        <is>
          <t>Backlog</t>
        </is>
      </c>
      <c r="V61" s="6" t="inlineStr"/>
    </row>
    <row r="62" ht="34" customHeight="1">
      <c r="A62" s="5" t="n">
        <v>58</v>
      </c>
      <c r="B62" s="5" t="inlineStr">
        <is>
          <t>Community</t>
        </is>
      </c>
      <c r="C62" s="5" t="inlineStr">
        <is>
          <t>Structured Learning Paths</t>
        </is>
      </c>
      <c r="D62" s="5" t="inlineStr">
        <is>
          <t>Growth</t>
        </is>
      </c>
      <c r="E62" s="6" t="n">
        <v>9</v>
      </c>
      <c r="F62" s="6" t="n">
        <v>8</v>
      </c>
      <c r="G62" s="6" t="n">
        <v>10</v>
      </c>
      <c r="H62" s="6" t="n">
        <v>8</v>
      </c>
      <c r="I62" s="6" t="n">
        <v>6</v>
      </c>
      <c r="J62" s="7">
        <f>ROUND(SUMPRODUCT(E62:I62,'Scoring Weights'!$B$4:$B$8)*10,1)</f>
        <v/>
      </c>
      <c r="K62" s="7">
        <f>RANK.EQ(J62,$J$5:$J$64,0)</f>
        <v/>
      </c>
      <c r="L62" s="7">
        <f>IF(J62&gt;='Scoring Weights'!$B$13,'Scoring Weights'!$A$13,IF(J62&gt;='Scoring Weights'!$B$14,'Scoring Weights'!$A$14,IF(J62&gt;='Scoring Weights'!$B$15,'Scoring Weights'!$A$15,'Scoring Weights'!$A$16)))</f>
        <v/>
      </c>
      <c r="M62" s="6" t="n">
        <v>8</v>
      </c>
      <c r="N62" s="6" t="n">
        <v>9</v>
      </c>
      <c r="O62" s="6" t="n">
        <v>9</v>
      </c>
      <c r="P62" s="6" t="n">
        <v>7</v>
      </c>
      <c r="Q62" s="7">
        <f>ROUND((N62*O62*M62)/P62,1)</f>
        <v/>
      </c>
      <c r="R62" s="5" t="inlineStr">
        <is>
          <t>Subscription</t>
        </is>
      </c>
      <c r="S62" s="8" t="inlineStr">
        <is>
          <t>SEO depth and subscription retention</t>
        </is>
      </c>
      <c r="T62" s="6" t="inlineStr"/>
      <c r="U62" s="6" t="inlineStr">
        <is>
          <t>Backlog</t>
        </is>
      </c>
      <c r="V62" s="6" t="inlineStr"/>
    </row>
    <row r="63" ht="34" customHeight="1">
      <c r="A63" s="5" t="n">
        <v>59</v>
      </c>
      <c r="B63" s="5" t="inlineStr">
        <is>
          <t>Community</t>
        </is>
      </c>
      <c r="C63" s="5" t="inlineStr">
        <is>
          <t>Community Forum and Q&amp;A</t>
        </is>
      </c>
      <c r="D63" s="5" t="inlineStr">
        <is>
          <t>Scale</t>
        </is>
      </c>
      <c r="E63" s="6" t="n">
        <v>8</v>
      </c>
      <c r="F63" s="6" t="n">
        <v>6</v>
      </c>
      <c r="G63" s="6" t="n">
        <v>9</v>
      </c>
      <c r="H63" s="6" t="n">
        <v>7</v>
      </c>
      <c r="I63" s="6" t="n">
        <v>4</v>
      </c>
      <c r="J63" s="7">
        <f>ROUND(SUMPRODUCT(E63:I63,'Scoring Weights'!$B$4:$B$8)*10,1)</f>
        <v/>
      </c>
      <c r="K63" s="7">
        <f>RANK.EQ(J63,$J$5:$J$64,0)</f>
        <v/>
      </c>
      <c r="L63" s="7">
        <f>IF(J63&gt;='Scoring Weights'!$B$13,'Scoring Weights'!$A$13,IF(J63&gt;='Scoring Weights'!$B$14,'Scoring Weights'!$A$14,IF(J63&gt;='Scoring Weights'!$B$15,'Scoring Weights'!$A$15,'Scoring Weights'!$A$16)))</f>
        <v/>
      </c>
      <c r="M63" s="6" t="n">
        <v>7</v>
      </c>
      <c r="N63" s="6" t="n">
        <v>9</v>
      </c>
      <c r="O63" s="6" t="n">
        <v>8</v>
      </c>
      <c r="P63" s="6" t="n">
        <v>9</v>
      </c>
      <c r="Q63" s="7">
        <f>ROUND((N63*O63*M63)/P63,1)</f>
        <v/>
      </c>
      <c r="R63" s="5" t="inlineStr">
        <is>
          <t>Ads + subscription</t>
        </is>
      </c>
      <c r="S63" s="8" t="inlineStr">
        <is>
          <t>Network effects but moderation-heavy</t>
        </is>
      </c>
      <c r="T63" s="6" t="inlineStr"/>
      <c r="U63" s="6" t="inlineStr">
        <is>
          <t>Backlog</t>
        </is>
      </c>
      <c r="V63" s="6" t="inlineStr"/>
    </row>
    <row r="64" ht="34" customHeight="1">
      <c r="A64" s="5" t="n">
        <v>60</v>
      </c>
      <c r="B64" s="5" t="inlineStr">
        <is>
          <t>Marketplace</t>
        </is>
      </c>
      <c r="C64" s="5" t="inlineStr">
        <is>
          <t>Creator Marketplace Platform</t>
        </is>
      </c>
      <c r="D64" s="5" t="inlineStr">
        <is>
          <t>Scale</t>
        </is>
      </c>
      <c r="E64" s="6" t="n">
        <v>9</v>
      </c>
      <c r="F64" s="6" t="n">
        <v>10</v>
      </c>
      <c r="G64" s="6" t="n">
        <v>9</v>
      </c>
      <c r="H64" s="6" t="n">
        <v>10</v>
      </c>
      <c r="I64" s="6" t="n">
        <v>3</v>
      </c>
      <c r="J64" s="7">
        <f>ROUND(SUMPRODUCT(E64:I64,'Scoring Weights'!$B$4:$B$8)*10,1)</f>
        <v/>
      </c>
      <c r="K64" s="7">
        <f>RANK.EQ(J64,$J$5:$J$64,0)</f>
        <v/>
      </c>
      <c r="L64" s="7">
        <f>IF(J64&gt;='Scoring Weights'!$B$13,'Scoring Weights'!$A$13,IF(J64&gt;='Scoring Weights'!$B$14,'Scoring Weights'!$A$14,IF(J64&gt;='Scoring Weights'!$B$15,'Scoring Weights'!$A$15,'Scoring Weights'!$A$16)))</f>
        <v/>
      </c>
      <c r="M64" s="6" t="n">
        <v>7</v>
      </c>
      <c r="N64" s="6" t="n">
        <v>9</v>
      </c>
      <c r="O64" s="6" t="n">
        <v>10</v>
      </c>
      <c r="P64" s="6" t="n">
        <v>10</v>
      </c>
      <c r="Q64" s="7">
        <f>ROUND((N64*O64*M64)/P64,1)</f>
        <v/>
      </c>
      <c r="R64" s="5" t="inlineStr">
        <is>
          <t>Commission + subscription</t>
        </is>
      </c>
      <c r="S64" s="8" t="inlineStr">
        <is>
          <t>Long-term network-effect moat</t>
        </is>
      </c>
      <c r="T64" s="6" t="inlineStr"/>
      <c r="U64" s="6" t="inlineStr">
        <is>
          <t>Backlog</t>
        </is>
      </c>
      <c r="V64" s="6" t="inlineStr"/>
    </row>
  </sheetData>
  <mergeCells count="2">
    <mergeCell ref="A2:V2"/>
    <mergeCell ref="A1:V1"/>
  </mergeCells>
  <conditionalFormatting sqref="J5:J64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L5:L64">
    <cfRule type="expression" priority="2" dxfId="0">
      <formula>ISNUMBER(SEARCH("Tier 1",L5))</formula>
    </cfRule>
  </conditionalFormatting>
  <dataValidations count="3">
    <dataValidation sqref="E5:I64 M5:P64" showDropDown="0" showInputMessage="1" showErrorMessage="1" allowBlank="0" errorTitle="Invalid score" error="Enter a whole number from 1 to 10." promptTitle="Scoring scale" prompt="Score from 1 (low) to 10 (high)." type="whole" operator="between">
      <formula1>1</formula1>
      <formula2>10</formula2>
    </dataValidation>
    <dataValidation sqref="U5:U64" showDropDown="0" showInputMessage="0" showErrorMessage="0" allowBlank="0" type="list">
      <formula1>"Backlog,Discovery,Planned,In Progress,Blocked,Released"</formula1>
    </dataValidation>
    <dataValidation sqref="D5:D64" showDropDown="0" showInputMessage="0" showErrorMessage="0" allowBlank="0" type="list">
      <formula1>"MVP,Growth,Scale"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2" customWidth="1" min="3" max="3"/>
    <col width="20" customWidth="1" min="4" max="4"/>
  </cols>
  <sheetData>
    <row r="1">
      <c r="A1" s="1" t="inlineStr">
        <is>
          <t>WEIGHTED SCORING MODEL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Criterion</t>
        </is>
      </c>
      <c r="B3" s="4" t="inlineStr">
        <is>
          <t>Weight</t>
        </is>
      </c>
      <c r="C3" s="4" t="inlineStr">
        <is>
          <t>Scoring guidance</t>
        </is>
      </c>
      <c r="D3" s="4" t="inlineStr">
        <is>
          <t>Direction</t>
        </is>
      </c>
    </row>
    <row r="4">
      <c r="A4" s="9" t="inlineStr">
        <is>
          <t>Market Demand</t>
        </is>
      </c>
      <c r="B4" s="10" t="n">
        <v>0.3</v>
      </c>
      <c r="C4" s="9" t="inlineStr">
        <is>
          <t>1 = niche/uncertain; 10 = broad, recurring pain</t>
        </is>
      </c>
      <c r="D4" s="9" t="inlineStr">
        <is>
          <t>Higher is better</t>
        </is>
      </c>
    </row>
    <row r="5">
      <c r="A5" s="9" t="inlineStr">
        <is>
          <t>Revenue Potential</t>
        </is>
      </c>
      <c r="B5" s="10" t="n">
        <v>0.25</v>
      </c>
      <c r="C5" s="9" t="inlineStr">
        <is>
          <t>1 = weak willingness to pay; 10 = strong recurring/enterprise value</t>
        </is>
      </c>
      <c r="D5" s="9" t="inlineStr">
        <is>
          <t>Higher is better</t>
        </is>
      </c>
    </row>
    <row r="6">
      <c r="A6" s="9" t="inlineStr">
        <is>
          <t>SEO Value</t>
        </is>
      </c>
      <c r="B6" s="10" t="n">
        <v>0.15</v>
      </c>
      <c r="C6" s="9" t="inlineStr">
        <is>
          <t>1 = little search intent; 10 = broad evergreen search demand</t>
        </is>
      </c>
      <c r="D6" s="9" t="inlineStr">
        <is>
          <t>Higher is better</t>
        </is>
      </c>
    </row>
    <row r="7">
      <c r="A7" s="9" t="inlineStr">
        <is>
          <t>Competitive Differentiation</t>
        </is>
      </c>
      <c r="B7" s="10" t="n">
        <v>0.2</v>
      </c>
      <c r="C7" s="9" t="inlineStr">
        <is>
          <t>1 = commodity; 10 = clear defensible advantage</t>
        </is>
      </c>
      <c r="D7" s="9" t="inlineStr">
        <is>
          <t>Higher is better</t>
        </is>
      </c>
    </row>
    <row r="8">
      <c r="A8" s="9" t="inlineStr">
        <is>
          <t>Effort Efficiency</t>
        </is>
      </c>
      <c r="B8" s="10" t="n">
        <v>0.1</v>
      </c>
      <c r="C8" s="9" t="inlineStr">
        <is>
          <t>1 = very costly/slow; 10 = fast and inexpensive</t>
        </is>
      </c>
      <c r="D8" s="9" t="inlineStr">
        <is>
          <t>Higher is better</t>
        </is>
      </c>
    </row>
    <row r="9">
      <c r="A9" s="9" t="n"/>
      <c r="B9" s="9" t="n"/>
      <c r="C9" s="9" t="n"/>
      <c r="D9" s="9" t="n"/>
    </row>
    <row r="10">
      <c r="A10" s="11" t="inlineStr">
        <is>
          <t>Total</t>
        </is>
      </c>
      <c r="B10" s="12">
        <f>SUM(B4:B8)</f>
        <v/>
      </c>
      <c r="C10" s="9" t="n"/>
      <c r="D10" s="9" t="n"/>
    </row>
    <row r="11">
      <c r="A11" s="9" t="n"/>
      <c r="B11" s="9" t="n"/>
      <c r="C11" s="9" t="n"/>
      <c r="D11" s="9" t="n"/>
    </row>
    <row r="12">
      <c r="A12" s="13" t="inlineStr">
        <is>
          <t>Decision thresholds</t>
        </is>
      </c>
      <c r="B12" s="9" t="n"/>
      <c r="C12" s="9" t="n"/>
      <c r="D12" s="9" t="n"/>
    </row>
    <row r="13">
      <c r="A13" s="9" t="inlineStr">
        <is>
          <t>Tier 1: Build Now</t>
        </is>
      </c>
      <c r="B13" s="14" t="n">
        <v>85</v>
      </c>
      <c r="C13" s="9" t="n"/>
      <c r="D13" s="9" t="n"/>
    </row>
    <row r="14">
      <c r="A14" s="9" t="inlineStr">
        <is>
          <t>Tier 2: Next</t>
        </is>
      </c>
      <c r="B14" s="14" t="n">
        <v>78</v>
      </c>
      <c r="C14" s="9" t="n"/>
      <c r="D14" s="9" t="n"/>
    </row>
    <row r="15">
      <c r="A15" s="9" t="inlineStr">
        <is>
          <t>Tier 3: Later</t>
        </is>
      </c>
      <c r="B15" s="14" t="n">
        <v>70</v>
      </c>
      <c r="C15" s="9" t="n"/>
      <c r="D15" s="9" t="n"/>
    </row>
    <row r="16">
      <c r="A16" s="9" t="inlineStr">
        <is>
          <t>Tier 4: Explore</t>
        </is>
      </c>
      <c r="B16" s="14" t="n">
        <v>0</v>
      </c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15" t="inlineStr">
        <is>
          <t>How the score works</t>
        </is>
      </c>
      <c r="B19" s="9" t="n"/>
      <c r="C19" s="9" t="n"/>
      <c r="D19" s="9" t="n"/>
    </row>
    <row r="20">
      <c r="A20" s="9" t="inlineStr">
        <is>
          <t>Weighted Score = SUM(each 1-10 score × its weight) × 10. Change blue cells to run scenarios.</t>
        </is>
      </c>
      <c r="B20" s="9" t="n"/>
      <c r="C20" s="9" t="n"/>
      <c r="D20" s="9" t="n"/>
    </row>
  </sheetData>
  <mergeCells count="3">
    <mergeCell ref="A1:D1"/>
    <mergeCell ref="A12:D12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38" customWidth="1" min="4" max="4"/>
    <col width="4" customWidth="1" min="5" max="5"/>
    <col width="20" customWidth="1" min="6" max="6"/>
    <col width="12" customWidth="1" min="7" max="7"/>
    <col width="16" customWidth="1" min="8" max="8"/>
  </cols>
  <sheetData>
    <row r="1">
      <c r="A1" s="1" t="inlineStr">
        <is>
          <t>ROADMAP &amp; PORTFOLIO VIEW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6" t="inlineStr">
        <is>
          <t>Headline metrics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Total features</t>
        </is>
      </c>
      <c r="B5" s="2" t="n"/>
      <c r="C5" s="2" t="inlineStr">
        <is>
          <t>Tier 1 candidates</t>
        </is>
      </c>
      <c r="D5" s="2" t="n"/>
      <c r="E5" s="2" t="inlineStr">
        <is>
          <t>MVP candidates</t>
        </is>
      </c>
      <c r="F5" s="2" t="n"/>
      <c r="G5" s="2" t="inlineStr">
        <is>
          <t>Average weighted score</t>
        </is>
      </c>
      <c r="H5" s="2" t="n"/>
    </row>
    <row r="6">
      <c r="A6" s="17">
        <f>COUNTA('Feature Matrix'!C5:C64)</f>
        <v/>
      </c>
      <c r="B6" s="2" t="n"/>
      <c r="C6" s="17">
        <f>COUNTIF('Feature Matrix'!L5:L64,"Tier 1*")</f>
        <v/>
      </c>
      <c r="D6" s="2" t="n"/>
      <c r="E6" s="17">
        <f>COUNTIF('Feature Matrix'!D5:D64,"MVP")</f>
        <v/>
      </c>
      <c r="F6" s="2" t="n"/>
      <c r="G6" s="17">
        <f>ROUND(AVERAGE('Feature Matrix'!J5:J64),1)</f>
        <v/>
      </c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18" t="inlineStr">
        <is>
          <t>Phase summary</t>
        </is>
      </c>
      <c r="B9" s="2" t="n"/>
      <c r="C9" s="2" t="n"/>
      <c r="D9" s="2" t="n"/>
      <c r="E9" s="2" t="n"/>
      <c r="F9" s="18" t="inlineStr">
        <is>
          <t>Category portfolio</t>
        </is>
      </c>
      <c r="G9" s="2" t="n"/>
      <c r="H9" s="2" t="n"/>
    </row>
    <row r="10">
      <c r="A10" s="4" t="inlineStr">
        <is>
          <t>Phase</t>
        </is>
      </c>
      <c r="B10" s="4" t="inlineStr">
        <is>
          <t>Feature Count</t>
        </is>
      </c>
      <c r="C10" s="4" t="inlineStr">
        <is>
          <t>Average Score</t>
        </is>
      </c>
      <c r="D10" s="4" t="inlineStr">
        <is>
          <t>Suggested focus</t>
        </is>
      </c>
      <c r="E10" s="2" t="n"/>
      <c r="F10" s="4" t="inlineStr">
        <is>
          <t>Category</t>
        </is>
      </c>
      <c r="G10" s="4" t="inlineStr">
        <is>
          <t>Count</t>
        </is>
      </c>
      <c r="H10" s="4" t="inlineStr">
        <is>
          <t>Average Score</t>
        </is>
      </c>
    </row>
    <row r="11">
      <c r="A11" s="2" t="inlineStr">
        <is>
          <t>MVP</t>
        </is>
      </c>
      <c r="B11" s="2">
        <f>COUNTIF('Feature Matrix'!D$5:D$64,A11)</f>
        <v/>
      </c>
      <c r="C11" s="2">
        <f>ROUND(AVERAGEIF('Feature Matrix'!D$5:D$64,A11,'Feature Matrix'!J$5:J$64),1)</f>
        <v/>
      </c>
      <c r="D11" s="2" t="inlineStr">
        <is>
          <t>Acquisition wedge and first revenue</t>
        </is>
      </c>
      <c r="E11" s="2" t="n"/>
      <c r="F11" s="2" t="inlineStr">
        <is>
          <t>AI</t>
        </is>
      </c>
      <c r="G11" s="2">
        <f>COUNTIF('Feature Matrix'!B$5:B$64,F11)</f>
        <v/>
      </c>
      <c r="H11" s="2">
        <f>ROUND(AVERAGEIF('Feature Matrix'!B$5:B$64,F11,'Feature Matrix'!J$5:J$64),1)</f>
        <v/>
      </c>
    </row>
    <row r="12">
      <c r="A12" s="2" t="inlineStr">
        <is>
          <t>Growth</t>
        </is>
      </c>
      <c r="B12" s="2">
        <f>COUNTIF('Feature Matrix'!D$5:D$64,A12)</f>
        <v/>
      </c>
      <c r="C12" s="2">
        <f>ROUND(AVERAGEIF('Feature Matrix'!D$5:D$64,A12,'Feature Matrix'!J$5:J$64),1)</f>
        <v/>
      </c>
      <c r="D12" s="2" t="inlineStr">
        <is>
          <t>Enterprise depth and retention</t>
        </is>
      </c>
      <c r="E12" s="2" t="n"/>
      <c r="F12" s="2" t="inlineStr">
        <is>
          <t>Architecture</t>
        </is>
      </c>
      <c r="G12" s="2">
        <f>COUNTIF('Feature Matrix'!B$5:B$64,F12)</f>
        <v/>
      </c>
      <c r="H12" s="2">
        <f>ROUND(AVERAGEIF('Feature Matrix'!B$5:B$64,F12,'Feature Matrix'!J$5:J$64),1)</f>
        <v/>
      </c>
    </row>
    <row r="13">
      <c r="A13" s="2" t="inlineStr">
        <is>
          <t>Scale</t>
        </is>
      </c>
      <c r="B13" s="2">
        <f>COUNTIF('Feature Matrix'!D$5:D$64,A13)</f>
        <v/>
      </c>
      <c r="C13" s="2">
        <f>ROUND(AVERAGEIF('Feature Matrix'!D$5:D$64,A13,'Feature Matrix'!J$5:J$64),1)</f>
        <v/>
      </c>
      <c r="D13" s="2" t="inlineStr">
        <is>
          <t>Defensible SaaS and network effects</t>
        </is>
      </c>
      <c r="E13" s="2" t="n"/>
      <c r="F13" s="2" t="inlineStr">
        <is>
          <t>Community</t>
        </is>
      </c>
      <c r="G13" s="2">
        <f>COUNTIF('Feature Matrix'!B$5:B$64,F13)</f>
        <v/>
      </c>
      <c r="H13" s="2">
        <f>ROUND(AVERAGEIF('Feature Matrix'!B$5:B$64,F13,'Feature Matrix'!J$5:J$64),1)</f>
        <v/>
      </c>
    </row>
    <row r="14">
      <c r="A14" s="2" t="n"/>
      <c r="B14" s="2" t="n"/>
      <c r="C14" s="2" t="n"/>
      <c r="D14" s="2" t="n"/>
      <c r="E14" s="2" t="n"/>
      <c r="F14" s="2" t="inlineStr">
        <is>
          <t>Developer Tools</t>
        </is>
      </c>
      <c r="G14" s="2">
        <f>COUNTIF('Feature Matrix'!B$5:B$64,F14)</f>
        <v/>
      </c>
      <c r="H14" s="2">
        <f>ROUND(AVERAGEIF('Feature Matrix'!B$5:B$64,F14,'Feature Matrix'!J$5:J$64),1)</f>
        <v/>
      </c>
    </row>
    <row r="15">
      <c r="A15" s="2" t="n"/>
      <c r="B15" s="2" t="n"/>
      <c r="C15" s="2" t="n"/>
      <c r="D15" s="2" t="n"/>
      <c r="E15" s="2" t="n"/>
      <c r="F15" s="2" t="inlineStr">
        <is>
          <t>Governance</t>
        </is>
      </c>
      <c r="G15" s="2">
        <f>COUNTIF('Feature Matrix'!B$5:B$64,F15)</f>
        <v/>
      </c>
      <c r="H15" s="2">
        <f>ROUND(AVERAGEIF('Feature Matrix'!B$5:B$64,F15,'Feature Matrix'!J$5:J$64),1)</f>
        <v/>
      </c>
    </row>
    <row r="16">
      <c r="A16" s="2" t="n"/>
      <c r="B16" s="2" t="n"/>
      <c r="C16" s="2" t="n"/>
      <c r="D16" s="2" t="n"/>
      <c r="E16" s="2" t="n"/>
      <c r="F16" s="2" t="inlineStr">
        <is>
          <t>Marketplace</t>
        </is>
      </c>
      <c r="G16" s="2">
        <f>COUNTIF('Feature Matrix'!B$5:B$64,F16)</f>
        <v/>
      </c>
      <c r="H16" s="2">
        <f>ROUND(AVERAGEIF('Feature Matrix'!B$5:B$64,F16,'Feature Matrix'!J$5:J$64),1)</f>
        <v/>
      </c>
    </row>
    <row r="17">
      <c r="A17" s="2" t="n"/>
      <c r="B17" s="2" t="n"/>
      <c r="C17" s="2" t="n"/>
      <c r="D17" s="2" t="n"/>
      <c r="E17" s="2" t="n"/>
      <c r="F17" s="2" t="inlineStr">
        <is>
          <t>Power Apps</t>
        </is>
      </c>
      <c r="G17" s="2">
        <f>COUNTIF('Feature Matrix'!B$5:B$64,F17)</f>
        <v/>
      </c>
      <c r="H17" s="2">
        <f>ROUND(AVERAGEIF('Feature Matrix'!B$5:B$64,F17,'Feature Matrix'!J$5:J$64),1)</f>
        <v/>
      </c>
    </row>
    <row r="18">
      <c r="A18" s="2" t="n"/>
      <c r="B18" s="2" t="n"/>
      <c r="C18" s="2" t="n"/>
      <c r="D18" s="2" t="n"/>
      <c r="E18" s="2" t="n"/>
      <c r="F18" s="2" t="inlineStr">
        <is>
          <t>Power Automate</t>
        </is>
      </c>
      <c r="G18" s="2">
        <f>COUNTIF('Feature Matrix'!B$5:B$64,F18)</f>
        <v/>
      </c>
      <c r="H18" s="2">
        <f>ROUND(AVERAGEIF('Feature Matrix'!B$5:B$64,F18,'Feature Matrix'!J$5:J$64),1)</f>
        <v/>
      </c>
    </row>
    <row r="19">
      <c r="A19" s="2" t="n"/>
      <c r="B19" s="2" t="n"/>
      <c r="C19" s="2" t="n"/>
      <c r="D19" s="2" t="n"/>
      <c r="E19" s="2" t="n"/>
      <c r="F19" s="2" t="inlineStr">
        <is>
          <t>Power BI</t>
        </is>
      </c>
      <c r="G19" s="2">
        <f>COUNTIF('Feature Matrix'!B$5:B$64,F19)</f>
        <v/>
      </c>
      <c r="H19" s="2">
        <f>ROUND(AVERAGEIF('Feature Matrix'!B$5:B$64,F19,'Feature Matrix'!J$5:J$64),1)</f>
        <v/>
      </c>
    </row>
  </sheetData>
  <mergeCells count="12">
    <mergeCell ref="A3:H3"/>
    <mergeCell ref="E6:F6"/>
    <mergeCell ref="C6:D6"/>
    <mergeCell ref="A9:D9"/>
    <mergeCell ref="C5:D5"/>
    <mergeCell ref="A5:B5"/>
    <mergeCell ref="G5:H5"/>
    <mergeCell ref="E5:F5"/>
    <mergeCell ref="G6:H6"/>
    <mergeCell ref="A1:H1"/>
    <mergeCell ref="F9:H9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HOW TO USE THIS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9" t="inlineStr">
        <is>
          <t>1. Adjust weights</t>
        </is>
      </c>
      <c r="B3" s="20" t="inlineStr">
        <is>
          <t>On Scoring Weights, edit the blue percentages. Keep the total at 100%.</t>
        </is>
      </c>
      <c r="C3" s="2" t="n"/>
      <c r="D3" s="2" t="n"/>
      <c r="E3" s="2" t="n"/>
      <c r="F3" s="2" t="n"/>
    </row>
    <row r="4">
      <c r="A4" s="19" t="inlineStr">
        <is>
          <t>2. Score features</t>
        </is>
      </c>
      <c r="B4" s="20" t="inlineStr">
        <is>
          <t>On Feature Matrix, edit blue 1–10 input cells. Effort Efficiency is inverse, so 10 means fast/easy.</t>
        </is>
      </c>
      <c r="C4" s="2" t="n"/>
      <c r="D4" s="2" t="n"/>
      <c r="E4" s="2" t="n"/>
      <c r="F4" s="2" t="n"/>
    </row>
    <row r="5">
      <c r="A5" s="19" t="inlineStr">
        <is>
          <t>3. Compare outputs</t>
        </is>
      </c>
      <c r="B5" s="20" t="inlineStr">
        <is>
          <t>Weighted Score, Rank, Priority Tier, and RICE Score update automatically.</t>
        </is>
      </c>
      <c r="C5" s="2" t="n"/>
      <c r="D5" s="2" t="n"/>
      <c r="E5" s="2" t="n"/>
      <c r="F5" s="2" t="n"/>
    </row>
    <row r="6">
      <c r="A6" s="19" t="inlineStr">
        <is>
          <t>4. Plan delivery</t>
        </is>
      </c>
      <c r="B6" s="20" t="inlineStr">
        <is>
          <t>Use Target Phase, Owner, Status, and Notes to convert prioritization into an active backlog.</t>
        </is>
      </c>
      <c r="C6" s="2" t="n"/>
      <c r="D6" s="2" t="n"/>
      <c r="E6" s="2" t="n"/>
      <c r="F6" s="2" t="n"/>
    </row>
    <row r="7">
      <c r="A7" s="19" t="inlineStr">
        <is>
          <t>5. Filter decisions</t>
        </is>
      </c>
      <c r="B7" s="20" t="inlineStr">
        <is>
          <t>Filter by Category, Tier, Phase, business model, owner, or status.</t>
        </is>
      </c>
      <c r="C7" s="2" t="n"/>
      <c r="D7" s="2" t="n"/>
      <c r="E7" s="2" t="n"/>
      <c r="F7" s="2" t="n"/>
    </row>
    <row r="8">
      <c r="A8" s="19" t="inlineStr">
        <is>
          <t>6. Revisit monthly</t>
        </is>
      </c>
      <c r="B8" s="20" t="inlineStr">
        <is>
          <t>Update confidence and input scores as customer interviews, analytics, and sales evidence accumulate.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16" t="inlineStr">
        <is>
          <t>Scoring interpretation</t>
        </is>
      </c>
      <c r="B11" s="2" t="n"/>
      <c r="C11" s="2" t="n"/>
      <c r="D11" s="2" t="n"/>
      <c r="E11" s="2" t="n"/>
      <c r="F11" s="2" t="n"/>
    </row>
    <row r="12">
      <c r="A12" s="2" t="inlineStr">
        <is>
          <t>9–10</t>
        </is>
      </c>
      <c r="B12" s="2" t="inlineStr">
        <is>
          <t>Exceptional / clear evidence</t>
        </is>
      </c>
      <c r="C12" s="2" t="n"/>
      <c r="D12" s="2" t="n"/>
      <c r="E12" s="2" t="n"/>
      <c r="F12" s="2" t="n"/>
    </row>
    <row r="13">
      <c r="A13" s="2" t="inlineStr">
        <is>
          <t>7–8</t>
        </is>
      </c>
      <c r="B13" s="2" t="inlineStr">
        <is>
          <t>Strong</t>
        </is>
      </c>
      <c r="C13" s="2" t="n"/>
      <c r="D13" s="2" t="n"/>
      <c r="E13" s="2" t="n"/>
      <c r="F13" s="2" t="n"/>
    </row>
    <row r="14">
      <c r="A14" s="2" t="inlineStr">
        <is>
          <t>5–6</t>
        </is>
      </c>
      <c r="B14" s="2" t="inlineStr">
        <is>
          <t>Moderate / validate</t>
        </is>
      </c>
      <c r="C14" s="2" t="n"/>
      <c r="D14" s="2" t="n"/>
      <c r="E14" s="2" t="n"/>
      <c r="F14" s="2" t="n"/>
    </row>
    <row r="15">
      <c r="A15" s="2" t="inlineStr">
        <is>
          <t>3–4</t>
        </is>
      </c>
      <c r="B15" s="2" t="inlineStr">
        <is>
          <t>Weak</t>
        </is>
      </c>
      <c r="C15" s="2" t="n"/>
      <c r="D15" s="2" t="n"/>
      <c r="E15" s="2" t="n"/>
      <c r="F15" s="2" t="n"/>
    </row>
    <row r="16">
      <c r="A16" s="2" t="inlineStr">
        <is>
          <t>1–2</t>
        </is>
      </c>
      <c r="B16" s="2" t="inlineStr">
        <is>
          <t>Very weak / speculative</t>
        </is>
      </c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1" t="inlineStr">
        <is>
          <t>Important note</t>
        </is>
      </c>
      <c r="B19" s="22" t="inlineStr">
        <is>
          <t>Initial scores are strategic assumptions from the feature matrix. Replace them with evidence from interviews, search demand, conversion tests, and sales discovery.</t>
        </is>
      </c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</sheetData>
  <mergeCells count="9">
    <mergeCell ref="B4:F4"/>
    <mergeCell ref="A11:F11"/>
    <mergeCell ref="B7:F7"/>
    <mergeCell ref="B6:F6"/>
    <mergeCell ref="A1:F1"/>
    <mergeCell ref="B3:F3"/>
    <mergeCell ref="B5:F5"/>
    <mergeCell ref="B19:F20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2026-09-16T15:46:49Z</dcterms:created>
  <dcterms:modified xmlns:dcterms="http://purl.org/dc/terms/" xmlns:xsi="http://www.w3.org/2001/XMLSchema-instance" xsi:type="dcterms:W3CDTF">2026-09-16T15:46:50Z</dcterms:modified>
</cp:coreProperties>
</file>